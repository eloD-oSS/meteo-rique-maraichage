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2" autoFilterDateGrouping="1"/>
  </bookViews>
  <sheets>
    <sheet xmlns:r="http://schemas.openxmlformats.org/officeDocument/2006/relationships" name="Densite semis" sheetId="1" state="visible" r:id="rId1"/>
    <sheet xmlns:r="http://schemas.openxmlformats.org/officeDocument/2006/relationships" name="Densité plantation-nb plants" sheetId="2" state="visible" r:id="rId2"/>
    <sheet xmlns:r="http://schemas.openxmlformats.org/officeDocument/2006/relationships" name="Dosage fertilité" sheetId="3" state="visible" r:id="rId3"/>
    <sheet xmlns:r="http://schemas.openxmlformats.org/officeDocument/2006/relationships" name="maladies et ravageurs" sheetId="4" state="visible" r:id="rId4"/>
    <sheet xmlns:r="http://schemas.openxmlformats.org/officeDocument/2006/relationships" name="Paramètres climatiqu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&quot; m&quot;"/>
    <numFmt numFmtId="165" formatCode="0.0&quot; m²&quot;"/>
    <numFmt numFmtId="166" formatCode="0.00&quot; m&quot;"/>
    <numFmt numFmtId="167" formatCode="0.00&quot; m²&quot;"/>
  </numFmts>
  <fonts count="3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sz val="12"/>
    </font>
    <font>
      <name val="Calibri"/>
      <b val="1"/>
      <color rgb="FF1B5E20"/>
      <sz val="12"/>
    </font>
    <font>
      <name val="Calibri"/>
      <i val="1"/>
      <color rgb="FF555555"/>
      <sz val="10"/>
    </font>
    <font>
      <name val="Calibri"/>
      <b val="1"/>
      <color rgb="FFFFFFFF"/>
      <sz val="11"/>
    </font>
    <font>
      <name val="Aptos Narrow"/>
      <i val="1"/>
      <color rgb="FF555555"/>
      <sz val="10"/>
    </font>
    <font>
      <name val="Calibri"/>
      <b val="1"/>
      <color rgb="FFFFFFFF"/>
      <sz val="10"/>
    </font>
    <font>
      <name val="Aptos Narrow"/>
      <i val="1"/>
      <color rgb="FF999999"/>
      <sz val="9"/>
    </font>
    <font>
      <name val="Calibri"/>
      <b val="1"/>
      <color rgb="FF3E2723"/>
      <sz val="11"/>
    </font>
    <font>
      <name val="Aptos Narrow"/>
      <sz val="11"/>
    </font>
    <font>
      <name val="Aptos Narrow"/>
      <color rgb="FF999999"/>
      <sz val="9"/>
    </font>
    <font>
      <name val="Calibri"/>
      <b val="1"/>
      <color rgb="FF4A148C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24242"/>
      <sz val="11"/>
    </font>
    <font>
      <name val="Calibri"/>
      <b val="1"/>
      <sz val="10"/>
    </font>
    <font>
      <name val="Calibri"/>
      <b val="1"/>
      <color rgb="001A1A1A"/>
      <sz val="11"/>
    </font>
    <font>
      <name val="Calibri"/>
      <color rgb="001A1A1A"/>
      <sz val="10"/>
    </font>
    <font>
      <name val="Calibri"/>
      <b val="1"/>
      <color rgb="00FFFFFF"/>
      <sz val="14"/>
    </font>
    <font>
      <name val="Calibri"/>
      <b val="1"/>
      <color rgb="001A1A1A"/>
      <sz val="12"/>
    </font>
    <font>
      <name val="Calibri"/>
      <b val="1"/>
      <color rgb="001B5E20"/>
      <sz val="12"/>
    </font>
    <font>
      <name val="Calibri"/>
      <i val="1"/>
      <color rgb="00616161"/>
      <sz val="10"/>
    </font>
    <font>
      <name val="Calibri"/>
      <b val="1"/>
      <color rgb="00C62828"/>
      <sz val="10"/>
    </font>
    <font>
      <name val="Calibri"/>
      <b val="1"/>
      <color rgb="00E65100"/>
      <sz val="10"/>
    </font>
    <font>
      <name val="Calibri"/>
      <i val="1"/>
      <color rgb="005E35B1"/>
      <sz val="10"/>
    </font>
    <font>
      <name val="Calibri"/>
      <b val="1"/>
      <color rgb="004527A0"/>
      <sz val="11"/>
    </font>
    <font>
      <name val="Calibri"/>
      <i val="1"/>
      <color rgb="00616161"/>
      <sz val="9"/>
    </font>
    <font/>
  </fonts>
  <fills count="40">
    <fill>
      <patternFill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FF9C4"/>
      </patternFill>
    </fill>
    <fill>
      <patternFill patternType="solid">
        <fgColor rgb="FFE3F2FD"/>
        <bgColor rgb="FFE8F5E9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E0E0E0"/>
        <bgColor rgb="FFE0E0E0"/>
      </patternFill>
    </fill>
    <fill>
      <patternFill patternType="solid">
        <fgColor rgb="FFFFF59D"/>
        <bgColor rgb="FFFFF59D"/>
      </patternFill>
    </fill>
    <fill>
      <patternFill patternType="solid">
        <fgColor rgb="FFC8E6C9"/>
        <bgColor rgb="FFC8E6C9"/>
      </patternFill>
    </fill>
    <fill>
      <patternFill patternType="solid">
        <fgColor rgb="FF1B5E20"/>
        <bgColor rgb="FF1B5E20"/>
      </patternFill>
    </fill>
    <fill>
      <patternFill patternType="solid">
        <fgColor rgb="FF5D4037"/>
        <bgColor rgb="FF5D4037"/>
      </patternFill>
    </fill>
    <fill>
      <patternFill patternType="solid">
        <fgColor rgb="FFB3E5FC"/>
        <bgColor rgb="FFB3E5FC"/>
      </patternFill>
    </fill>
    <fill>
      <patternFill patternType="solid">
        <fgColor rgb="FFFFE0B2"/>
        <bgColor rgb="FFFFE0B2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0E0E0"/>
        <bgColor rgb="00E0E0E0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1F5FE"/>
        <bgColor rgb="00E1F5FE"/>
      </patternFill>
    </fill>
    <fill>
      <patternFill patternType="solid">
        <fgColor rgb="000277BD"/>
        <bgColor rgb="000277BD"/>
      </patternFill>
    </fill>
    <fill>
      <patternFill patternType="solid">
        <fgColor rgb="00B3E5FC"/>
        <bgColor rgb="00B3E5FC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  <fill>
      <patternFill patternType="solid">
        <fgColor rgb="005D4037"/>
        <bgColor rgb="005D4037"/>
      </patternFill>
    </fill>
    <fill>
      <patternFill patternType="solid">
        <fgColor rgb="00D7CCC8"/>
        <bgColor rgb="00D7CCC8"/>
      </patternFill>
    </fill>
    <fill>
      <patternFill patternType="solid">
        <fgColor rgb="00EFEBE9"/>
        <bgColor rgb="00EFEBE9"/>
      </patternFill>
    </fill>
    <fill>
      <patternFill patternType="solid">
        <fgColor rgb="005E35B1"/>
        <bgColor rgb="005E35B1"/>
      </patternFill>
    </fill>
    <fill>
      <patternFill patternType="solid">
        <fgColor rgb="00D1C4E9"/>
        <bgColor rgb="00D1C4E9"/>
      </patternFill>
    </fill>
    <fill>
      <patternFill patternType="solid">
        <fgColor rgb="00EDE7F6"/>
        <bgColor rgb="00EDE7F6"/>
      </patternFill>
    </fill>
    <fill>
      <patternFill patternType="solid">
        <fgColor rgb="007E57C2"/>
        <bgColor rgb="007E57C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555555"/>
      </top>
      <bottom style="thin">
        <color rgb="00888888"/>
      </bottom>
    </border>
    <border>
      <left style="thin">
        <color rgb="00888888"/>
      </left>
      <right/>
      <top/>
      <bottom/>
      <diagonal/>
    </border>
    <border>
      <left style="thin">
        <color rgb="00888888"/>
      </left>
      <right style="thin">
        <color rgb="00888888"/>
      </right>
      <top/>
      <bottom/>
      <diagonal/>
    </border>
    <border>
      <left style="thin">
        <color rgb="00888888"/>
      </left>
      <right style="thin">
        <color rgb="00888888"/>
      </right>
      <top/>
      <bottom style="thin">
        <color rgb="00888888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  <border/>
  </borders>
  <cellStyleXfs count="1">
    <xf numFmtId="0" fontId="0" fillId="0" borderId="8"/>
  </cellStyleXfs>
  <cellXfs count="1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5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/>
    </xf>
    <xf numFmtId="164" fontId="6" fillId="11" borderId="7" applyAlignment="1" pivotButton="0" quotePrefix="0" xfId="0">
      <alignment horizontal="center" vertical="center"/>
    </xf>
    <xf numFmtId="165" fontId="7" fillId="12" borderId="7" applyAlignment="1" pivotButton="0" quotePrefix="0" xfId="0">
      <alignment horizontal="center" vertical="center"/>
    </xf>
    <xf numFmtId="0" fontId="6" fillId="11" borderId="7" applyAlignment="1" pivotButton="0" quotePrefix="0" xfId="0">
      <alignment horizontal="center" vertical="center"/>
    </xf>
    <xf numFmtId="0" fontId="9" fillId="13" borderId="7" applyAlignment="1" pivotButton="0" quotePrefix="0" xfId="0">
      <alignment horizontal="center" vertical="center" wrapText="1"/>
    </xf>
    <xf numFmtId="3" fontId="7" fillId="12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64" fontId="6" fillId="15" borderId="7" applyAlignment="1" pivotButton="0" quotePrefix="0" xfId="0">
      <alignment horizontal="center" vertical="center"/>
    </xf>
    <xf numFmtId="165" fontId="6" fillId="15" borderId="7" applyAlignment="1" pivotButton="0" quotePrefix="0" xfId="0">
      <alignment horizontal="center" vertical="center"/>
    </xf>
    <xf numFmtId="0" fontId="11" fillId="14" borderId="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6" borderId="7" applyAlignment="1" pivotButton="0" quotePrefix="0" xfId="0">
      <alignment horizontal="center" vertical="center"/>
    </xf>
    <xf numFmtId="0" fontId="9" fillId="17" borderId="7" applyAlignment="1" pivotButton="0" quotePrefix="0" xfId="0">
      <alignment horizontal="center" vertical="center" wrapText="1"/>
    </xf>
    <xf numFmtId="0" fontId="14" fillId="0" borderId="8" pivotButton="0" quotePrefix="0" xfId="0"/>
    <xf numFmtId="165" fontId="14" fillId="0" borderId="8" pivotButton="0" quotePrefix="0" xfId="0"/>
    <xf numFmtId="0" fontId="16" fillId="18" borderId="7" applyAlignment="1" pivotButton="0" quotePrefix="0" xfId="0">
      <alignment horizontal="center" vertical="center"/>
    </xf>
    <xf numFmtId="0" fontId="15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9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8" pivotButton="0" quotePrefix="0" xfId="0"/>
    <xf numFmtId="0" fontId="4" fillId="14" borderId="8" applyAlignment="1" pivotButton="0" quotePrefix="0" xfId="0">
      <alignment horizontal="center" vertical="center"/>
    </xf>
    <xf numFmtId="0" fontId="17" fillId="19" borderId="10" applyAlignment="1" pivotButton="0" quotePrefix="0" xfId="0">
      <alignment horizontal="center" vertical="center" wrapText="1"/>
    </xf>
    <xf numFmtId="0" fontId="18" fillId="20" borderId="10" applyAlignment="1" pivotButton="0" quotePrefix="0" xfId="0">
      <alignment horizontal="left" vertical="center" wrapText="1"/>
    </xf>
    <xf numFmtId="0" fontId="18" fillId="21" borderId="10" applyAlignment="1" pivotButton="0" quotePrefix="0" xfId="0">
      <alignment horizontal="left" vertical="center" wrapText="1"/>
    </xf>
    <xf numFmtId="0" fontId="17" fillId="22" borderId="10" applyAlignment="1" pivotButton="0" quotePrefix="0" xfId="0">
      <alignment horizontal="center" vertical="center" wrapText="1"/>
    </xf>
    <xf numFmtId="0" fontId="18" fillId="23" borderId="10" applyAlignment="1" pivotButton="0" quotePrefix="0" xfId="0">
      <alignment horizontal="left" vertical="top" wrapText="1"/>
    </xf>
    <xf numFmtId="0" fontId="19" fillId="24" borderId="11" applyAlignment="1" pivotButton="0" quotePrefix="0" xfId="0">
      <alignment horizontal="center" vertical="center" wrapText="1"/>
    </xf>
    <xf numFmtId="0" fontId="20" fillId="25" borderId="11" applyAlignment="1" pivotButton="0" quotePrefix="0" xfId="0">
      <alignment horizontal="center" vertical="center" wrapText="1"/>
    </xf>
    <xf numFmtId="0" fontId="18" fillId="20" borderId="11" applyAlignment="1" pivotButton="0" quotePrefix="0" xfId="0">
      <alignment horizontal="left" vertical="center" wrapText="1"/>
    </xf>
    <xf numFmtId="0" fontId="18" fillId="26" borderId="11" applyAlignment="1" pivotButton="0" quotePrefix="0" xfId="0">
      <alignment horizontal="left" vertical="center" wrapText="1"/>
    </xf>
    <xf numFmtId="0" fontId="18" fillId="21" borderId="11" applyAlignment="1" pivotButton="0" quotePrefix="0" xfId="0">
      <alignment horizontal="left" vertical="center" wrapText="1"/>
    </xf>
    <xf numFmtId="0" fontId="18" fillId="27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18" fillId="26" borderId="10" applyAlignment="1" pivotButton="0" quotePrefix="0" xfId="0">
      <alignment horizontal="left" vertical="center" wrapText="1"/>
    </xf>
    <xf numFmtId="0" fontId="18" fillId="27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25" borderId="10" pivotButton="0" quotePrefix="0" xfId="0"/>
    <xf numFmtId="0" fontId="18" fillId="28" borderId="10" applyAlignment="1" pivotButton="0" quotePrefix="0" xfId="0">
      <alignment horizontal="center" vertical="center" wrapText="1"/>
    </xf>
    <xf numFmtId="0" fontId="17" fillId="29" borderId="15" applyAlignment="1" pivotButton="0" quotePrefix="0" xfId="0">
      <alignment horizontal="center" vertical="center" wrapText="1"/>
    </xf>
    <xf numFmtId="0" fontId="19" fillId="30" borderId="15" applyAlignment="1" pivotButton="0" quotePrefix="0" xfId="0">
      <alignment horizontal="center" vertical="center" wrapText="1"/>
    </xf>
    <xf numFmtId="0" fontId="21" fillId="25" borderId="15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left" vertical="center" wrapText="1"/>
    </xf>
    <xf numFmtId="0" fontId="21" fillId="28" borderId="15" applyAlignment="1" pivotButton="0" quotePrefix="0" xfId="0">
      <alignment horizontal="center" vertical="center" wrapText="1"/>
    </xf>
    <xf numFmtId="0" fontId="23" fillId="22" borderId="8" applyAlignment="1" pivotButton="0" quotePrefix="0" xfId="0">
      <alignment horizontal="center" vertical="center"/>
    </xf>
    <xf numFmtId="0" fontId="19" fillId="31" borderId="15" applyAlignment="1" pivotButton="0" quotePrefix="0" xfId="0">
      <alignment horizontal="center" vertical="center" wrapText="1"/>
    </xf>
    <xf numFmtId="164" fontId="24" fillId="32" borderId="15" applyAlignment="1" pivotButton="0" quotePrefix="0" xfId="0">
      <alignment horizontal="center" vertical="center"/>
    </xf>
    <xf numFmtId="165" fontId="25" fillId="31" borderId="15" applyAlignment="1" pivotButton="0" quotePrefix="0" xfId="0">
      <alignment horizontal="center" vertical="center"/>
    </xf>
    <xf numFmtId="0" fontId="24" fillId="32" borderId="15" applyAlignment="1" pivotButton="0" quotePrefix="0" xfId="0">
      <alignment horizontal="center" vertical="center"/>
    </xf>
    <xf numFmtId="0" fontId="26" fillId="0" borderId="8" pivotButton="0" quotePrefix="0" xfId="0"/>
    <xf numFmtId="0" fontId="17" fillId="22" borderId="15" applyAlignment="1" pivotButton="0" quotePrefix="0" xfId="0">
      <alignment horizontal="center" vertical="center" wrapText="1"/>
    </xf>
    <xf numFmtId="0" fontId="22" fillId="18" borderId="15" applyAlignment="1" pivotButton="0" quotePrefix="0" xfId="0">
      <alignment horizontal="center" vertical="center" wrapText="1"/>
    </xf>
    <xf numFmtId="3" fontId="21" fillId="23" borderId="15" applyAlignment="1" pivotButton="0" quotePrefix="0" xfId="0">
      <alignment horizontal="center" vertical="center" wrapText="1"/>
    </xf>
    <xf numFmtId="0" fontId="23" fillId="33" borderId="8" applyAlignment="1" pivotButton="0" quotePrefix="0" xfId="0">
      <alignment horizontal="center" vertical="center"/>
    </xf>
    <xf numFmtId="0" fontId="19" fillId="34" borderId="15" applyAlignment="1" pivotButton="0" quotePrefix="0" xfId="0">
      <alignment horizontal="center" vertical="center" wrapText="1"/>
    </xf>
    <xf numFmtId="164" fontId="24" fillId="30" borderId="15" applyAlignment="1" pivotButton="0" quotePrefix="0" xfId="0">
      <alignment horizontal="center" vertical="center"/>
    </xf>
    <xf numFmtId="165" fontId="24" fillId="30" borderId="15" applyAlignment="1" pivotButton="0" quotePrefix="0" xfId="0">
      <alignment horizontal="center" vertical="center"/>
    </xf>
    <xf numFmtId="0" fontId="17" fillId="33" borderId="15" applyAlignment="1" pivotButton="0" quotePrefix="0" xfId="0">
      <alignment horizontal="center" vertical="center" wrapText="1"/>
    </xf>
    <xf numFmtId="0" fontId="22" fillId="16" borderId="15" applyAlignment="1" pivotButton="0" quotePrefix="0" xfId="0">
      <alignment horizontal="center" vertical="center" wrapText="1"/>
    </xf>
    <xf numFmtId="3" fontId="21" fillId="35" borderId="15" applyAlignment="1" pivotButton="0" quotePrefix="0" xfId="0">
      <alignment horizontal="center" vertical="center" wrapText="1"/>
    </xf>
    <xf numFmtId="0" fontId="21" fillId="35" borderId="15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left" vertical="center" wrapText="1"/>
    </xf>
    <xf numFmtId="0" fontId="22" fillId="4" borderId="15" applyAlignment="1" pivotButton="0" quotePrefix="0" xfId="0">
      <alignment horizontal="left" vertical="center" wrapText="1"/>
    </xf>
    <xf numFmtId="0" fontId="22" fillId="5" borderId="15" applyAlignment="1" pivotButton="0" quotePrefix="0" xfId="0">
      <alignment horizontal="left" vertical="center" wrapText="1"/>
    </xf>
    <xf numFmtId="0" fontId="17" fillId="19" borderId="15" applyAlignment="1" pivotButton="0" quotePrefix="0" xfId="0">
      <alignment horizontal="center" vertical="center" wrapText="1"/>
    </xf>
    <xf numFmtId="0" fontId="19" fillId="26" borderId="15" applyAlignment="1" pivotButton="0" quotePrefix="0" xfId="0">
      <alignment horizontal="center" vertical="center" wrapText="1"/>
    </xf>
    <xf numFmtId="0" fontId="27" fillId="20" borderId="15" applyAlignment="1" pivotButton="0" quotePrefix="0" xfId="0">
      <alignment horizontal="left" vertical="center" wrapText="1"/>
    </xf>
    <xf numFmtId="0" fontId="22" fillId="26" borderId="15" applyAlignment="1" pivotButton="0" quotePrefix="0" xfId="0">
      <alignment horizontal="left" vertical="center" wrapText="1"/>
    </xf>
    <xf numFmtId="0" fontId="28" fillId="21" borderId="15" applyAlignment="1" pivotButton="0" quotePrefix="0" xfId="0">
      <alignment horizontal="left" vertical="center" wrapText="1"/>
    </xf>
    <xf numFmtId="0" fontId="22" fillId="27" borderId="15" applyAlignment="1" pivotButton="0" quotePrefix="0" xfId="0">
      <alignment horizontal="left" vertical="center" wrapText="1"/>
    </xf>
    <xf numFmtId="0" fontId="0" fillId="26" borderId="15" pivotButton="0" quotePrefix="0" xfId="0"/>
    <xf numFmtId="0" fontId="0" fillId="25" borderId="15" pivotButton="0" quotePrefix="0" xfId="0"/>
    <xf numFmtId="0" fontId="0" fillId="0" borderId="17" pivotButton="0" quotePrefix="0" xfId="0"/>
    <xf numFmtId="0" fontId="0" fillId="0" borderId="18" pivotButton="0" quotePrefix="0" xfId="0"/>
    <xf numFmtId="166" fontId="24" fillId="32" borderId="15" applyAlignment="1" pivotButton="0" quotePrefix="0" xfId="0">
      <alignment horizontal="center" vertical="center"/>
    </xf>
    <xf numFmtId="167" fontId="25" fillId="31" borderId="15" applyAlignment="1" pivotButton="0" quotePrefix="0" xfId="0">
      <alignment horizontal="center" vertical="center"/>
    </xf>
    <xf numFmtId="166" fontId="24" fillId="30" borderId="15" applyAlignment="1" pivotButton="0" quotePrefix="0" xfId="0">
      <alignment horizontal="center" vertical="center"/>
    </xf>
    <xf numFmtId="167" fontId="24" fillId="30" borderId="15" applyAlignment="1" pivotButton="0" quotePrefix="0" xfId="0">
      <alignment horizontal="center" vertical="center"/>
    </xf>
    <xf numFmtId="0" fontId="23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17" fillId="36" borderId="15" applyAlignment="1" pivotButton="0" quotePrefix="0" xfId="0">
      <alignment horizontal="center" vertical="center" wrapText="1"/>
    </xf>
    <xf numFmtId="0" fontId="30" fillId="37" borderId="15" applyAlignment="1" pivotButton="0" quotePrefix="0" xfId="0">
      <alignment horizontal="left" vertical="center" wrapText="1"/>
    </xf>
    <xf numFmtId="0" fontId="29" fillId="38" borderId="15" applyAlignment="1" pivotButton="0" quotePrefix="0" xfId="0">
      <alignment horizontal="left" vertical="center" wrapText="1"/>
    </xf>
    <xf numFmtId="0" fontId="22" fillId="38" borderId="15" applyAlignment="1" pivotButton="0" quotePrefix="0" xfId="0">
      <alignment horizontal="left" vertical="center" wrapText="1"/>
    </xf>
    <xf numFmtId="0" fontId="22" fillId="27" borderId="15" applyAlignment="1" pivotButton="0" quotePrefix="0" xfId="0">
      <alignment horizontal="center" vertical="center" wrapText="1"/>
    </xf>
    <xf numFmtId="0" fontId="22" fillId="30" borderId="15" applyAlignment="1" pivotButton="0" quotePrefix="0" xfId="0">
      <alignment horizontal="left" vertical="center" wrapText="1"/>
    </xf>
    <xf numFmtId="0" fontId="27" fillId="26" borderId="15" applyAlignment="1" pivotButton="0" quotePrefix="0" xfId="0">
      <alignment horizontal="left" vertical="center" wrapText="1"/>
    </xf>
    <xf numFmtId="0" fontId="22" fillId="31" borderId="15" applyAlignment="1" pivotButton="0" quotePrefix="0" xfId="0">
      <alignment horizontal="left" vertical="center" wrapText="1"/>
    </xf>
    <xf numFmtId="0" fontId="31" fillId="0" borderId="15" applyAlignment="1" pivotButton="0" quotePrefix="0" xfId="0">
      <alignment horizontal="left" vertical="center" wrapText="1"/>
    </xf>
    <xf numFmtId="0" fontId="17" fillId="39" borderId="0" applyAlignment="1" pivotButton="0" quotePrefix="0" xfId="0">
      <alignment horizontal="left" vertical="center" indent="1"/>
    </xf>
    <xf numFmtId="0" fontId="17" fillId="39" borderId="19" applyAlignment="1" pivotButton="0" quotePrefix="0" xfId="0">
      <alignment horizontal="left" vertical="center" inden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D8" authorId="0" shapeId="0">
      <text>
        <t>Source Agrosemens : https://www.agrosemens.com/blog/courge-bio-pratique-culturale/</t>
      </text>
    </comment>
    <comment ref="F8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9" authorId="0" shapeId="0">
      <text>
        <t>Source Agrosemens : https://www.agrosemens.com/jardin-graine-bio-courge-courge/1848-potiron-vert-olive.html</t>
      </text>
    </comment>
    <comment ref="F9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0" authorId="0" shapeId="0">
      <text>
        <t>Source Agrosemens : https://www.agrosemens.com/jardin-graine-bio-potimarron/121-Semences-Graines-Semence-Bio-POTIMARRON.html</t>
      </text>
    </comment>
    <comment ref="F10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1" authorId="0" shapeId="0">
      <text>
        <t>Source Agrosemens : https://www.agrosemens.com/blog/courgette-bio-pratique-culturale/</t>
      </text>
    </comment>
    <comment ref="F11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2" authorId="0" shapeId="0">
      <text>
        <t>Source Agrosemens : https://www.agrosemens.com/concombre-d-abri/533-CONCOMBRE-Akito-F1.html</t>
      </text>
    </comment>
    <comment ref="F12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3" authorId="0" shapeId="0">
      <text>
        <t>Source Agrosemens : https://www.agrosemens.com/blog/melon-bio-pratique-culturale/</t>
      </text>
    </comment>
    <comment ref="F13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4" authorId="0" shapeId="0">
      <text>
        <t>Source Agrosemens : https://www.agrosemens.com/jardin-graine-bio-pasteque/2275-Semences-Bio-PASTEQUE-Early-Moon-Beam-a-chaire-jaune.html</t>
      </text>
    </comment>
    <comment ref="F14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6" authorId="0" shapeId="0">
      <text>
        <t>Source Agrosemens : https://www.agrosemens.com/blog/tomates-bio-pratique-culturale/</t>
      </text>
    </comment>
    <comment ref="F16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7" authorId="0" shapeId="0">
      <text>
        <t>Source Agrosemens : https://www.agrosemens.com/blog/aubergine-bio-pratique-culturale/</t>
      </text>
    </comment>
    <comment ref="F17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8" authorId="0" shapeId="0">
      <text>
        <t>Source Agrosemens : https://www.agrosemens.com/blog/poivrons-bio-pratique-culturale/</t>
      </text>
    </comment>
    <comment ref="F18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19" authorId="0" shapeId="0">
      <text>
        <t>Source Agrosemens : https://www.agrosemens.com/piment-fort-a-brulant/120-Semences-Graines-Semence-Bio-PIMENT.html</t>
      </text>
    </comment>
    <comment ref="F19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1" authorId="0" shapeId="0">
      <text>
        <t>Source Agrosemens : https://www.agrosemens.com/blog/poireaux-bio-pratique-culturale/</t>
      </text>
    </comment>
    <comment ref="F21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2" authorId="0" shapeId="0">
      <text>
        <t>Source Agrosemens : https://www.agrosemens.com/blog/oignons-bio-pratique-culturale/</t>
      </text>
    </comment>
    <comment ref="F22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3" authorId="0" shapeId="0">
      <text>
        <t>Source Agrosemens : https://www.agrosemens.com/jardin-graine-bio-oignon-ciboule/229-Semences-Graines-Semence-Bio-OIGNON.html</t>
      </text>
    </comment>
    <comment ref="F23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4" authorId="0" shapeId="0">
      <text>
        <t>Source Agrosemens : https://www.agrosemens.com/de-semis/438-echalote-conservo.html</t>
      </text>
    </comment>
    <comment ref="F24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6" authorId="0" shapeId="0">
      <text>
        <t>Source Agrosemens : https://www.agrosemens.com/chou-cabus-blanc-rond/194-Semences-Graines-Semence-Bio-CHOU.html</t>
      </text>
    </comment>
    <comment ref="F26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7" authorId="0" shapeId="0">
      <text>
        <t>Source Agrosemens : https://www.agrosemens.com/blog/choux-bio-pratique-culturale/</t>
      </text>
    </comment>
    <comment ref="F27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8" authorId="0" shapeId="0">
      <text>
        <t>Source Agrosemens : https://www.agrosemens.com/jardin-graine-bio-choux-chou-fleur/513-CHOU-Fleur-Odysseus.html</t>
      </text>
    </comment>
    <comment ref="F28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29" authorId="0" shapeId="0">
      <text>
        <t>Source Agrosemens : https://www.agrosemens.com/blog/brocoli-bio/</t>
      </text>
    </comment>
    <comment ref="F29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0" authorId="0" shapeId="0">
      <text>
        <t>Source Agrosemens : https://www.agrosemens.com/jardin-graine-bio-choux-choux-de-bruxelles/1057-CHOU-DE-BRUXELLES-Groninger.html</t>
      </text>
    </comment>
    <comment ref="F30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1" authorId="0" shapeId="0">
      <text>
        <t>Source Agrosemens : https://www.agrosemens.com/jardin-graine-bio-choux-chou-de-chine/1656-chou-de-chine-pack-cho-green.html</t>
      </text>
    </comment>
    <comment ref="F31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2" authorId="0" shapeId="0">
      <text>
        <t>Source Agrosemens : https://www.agrosemens.com/jardin-graine-bio-choux-chou-de-chine/1656-chou-de-chine-pack-cho-green.html</t>
      </text>
    </comment>
    <comment ref="F32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3" authorId="0" shapeId="0">
      <text>
        <t>Source Agrosemens : https://www.agrosemens.com/blog/navets-bio-pratique-culturale/</t>
      </text>
    </comment>
    <comment ref="F33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4" authorId="0" shapeId="0">
      <text>
        <t>Source Agrosemens : https://www.agrosemens.com/jardin-graine-bio-radis-rond/372-semences-graines-semence-bio-radis.html</t>
      </text>
    </comment>
    <comment ref="F34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6" authorId="0" shapeId="0">
      <text>
        <t>Source Agrosemens : https://www.agrosemens.com/blog/pois-bio-pratique-culturale/</t>
      </text>
    </comment>
    <comment ref="F36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7" authorId="0" shapeId="0">
      <text>
        <t>Source Agrosemens : https://www.agrosemens.com/blog/pois-bio-pratique-culturale/</t>
      </text>
    </comment>
    <comment ref="F37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8" authorId="0" shapeId="0">
      <text>
        <t>Source Agrosemens : https://www.agrosemens.com/jardin-graine-bio-feve/1061-feve-ratio.html</t>
      </text>
    </comment>
    <comment ref="F38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39" authorId="0" shapeId="0">
      <text>
        <t>Source Agrosemens : https://www.agrosemens.com/nain-vert-fin-et-extra-fin/1857-haricot-nain-vert-rugally-.html</t>
      </text>
    </comment>
    <comment ref="F39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0" authorId="0" shapeId="0">
      <text>
        <t>Source Agrosemens : https://www.agrosemens.com/blog/haricot-bio-pratique-culturale/</t>
      </text>
    </comment>
    <comment ref="F40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1" authorId="0" shapeId="0">
      <text>
        <t>Source Agrosemens : https://www.agrosemens.com/pois-chiche/358-semences-graines-semence-bio-pois-chiche.html</t>
      </text>
    </comment>
    <comment ref="F41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3" authorId="0" shapeId="0">
      <text>
        <t>Source Agrosemens : https://www.agrosemens.com/jardin-graine-bio-laitue-laitue-batavia-plein-champ/282-Semences-Graines-Semence-Bio-LAITUE.html</t>
      </text>
    </comment>
    <comment ref="F43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4" authorId="0" shapeId="0">
      <text>
        <t>Source Agrosemens : https://www.agrosemens.com/jardin-graine-bio-laitue-laitue-batavia-plein-champ/282-Semences-Graines-Semence-Bio-LAITUE.html</t>
      </text>
    </comment>
    <comment ref="F44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5" authorId="0" shapeId="0">
      <text>
        <t>Source Agrosemens : https://www.agrosemens.com/feuille-de-chene-de-plein-champ/303-Semences-Graines-Semence-Bio-LAITUE.html</t>
      </text>
    </comment>
    <comment ref="F45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6" authorId="0" shapeId="0">
      <text>
        <t>Source Agrosemens : https://www.agrosemens.com/blog/epinards-bio-guide-de-culture/</t>
      </text>
    </comment>
    <comment ref="F46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7" authorId="0" shapeId="0">
      <text>
        <t>Source Agrosemens : https://www.agrosemens.com/blog/epinards-bio-guide-de-culture/</t>
      </text>
    </comment>
    <comment ref="F47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48" authorId="0" shapeId="0">
      <text>
        <t>Source Agrosemens : https://www.agrosemens.com/jardin-graine-bio-roquette/138-Semences-Graines-Semence-Bio-ROQUETTE.html</t>
      </text>
    </comment>
    <comment ref="F48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0" authorId="0" shapeId="0">
      <text>
        <t>Source Agrosemens : https://www.agrosemens.com/home/53-semences-graines-semence-bio-carotte.html</t>
      </text>
    </comment>
    <comment ref="F50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1" authorId="0" shapeId="0">
      <text>
        <t>Source Agrosemens : https://www.agrosemens.com/jardin-graine-bio-betterave/23-semences-graines-semence-bio-betterave.html</t>
      </text>
    </comment>
    <comment ref="F51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2" authorId="0" shapeId="0">
      <text>
        <t>Source Agrosemens : https://www.agrosemens.com/jardin-graine-bio-betterave/23-semences-graines-semence-bio-betterave.html</t>
      </text>
    </comment>
    <comment ref="F52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3" authorId="0" shapeId="0">
      <text>
        <t>Source Agrosemens : https://www.agrosemens.com/blettes-a-carde-blanche-et-de-couleur/1459-blette-charlotte.html</t>
      </text>
    </comment>
    <comment ref="F53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4" authorId="0" shapeId="0">
      <text>
        <t>Source Agrosemens : https://www.agrosemens.com/blog/panais-bio-semences-legume/</t>
      </text>
    </comment>
    <comment ref="F54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5" authorId="0" shapeId="0">
      <text>
        <t>Source Agrosemens : https://www.agrosemens.com/jardin-graine-bio-radis-rave/1642-semences-graines-semence-bio-radis-noir-long.html</t>
      </text>
    </comment>
    <comment ref="F55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7" authorId="0" shapeId="0">
      <text>
        <t>Source Agrosemens : https://www.agrosemens.com/mais-doux/101-mais-doux-golden-bantam.html</t>
      </text>
    </comment>
    <comment ref="F57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8" authorId="0" shapeId="0">
      <text>
        <t>Source Agrosemens : https://www.agrosemens.com/blog/fenouil-bio-pratique-culturale/</t>
      </text>
    </comment>
    <comment ref="F58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59" authorId="0" shapeId="0">
      <text>
        <t>Source Agrosemens : https://www.agrosemens.com/branche-ou-a-cote/173-semences-graines-semence-bio-celeri.html</t>
      </text>
    </comment>
    <comment ref="F59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60" authorId="0" shapeId="0">
      <text>
        <t>Source Agrosemens : https://www.agrosemens.com/jardin-graine-bio-rave-tubereux/509-celeri-rave-monarch.html</t>
      </text>
    </comment>
    <comment ref="F60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  <comment ref="D61" authorId="0" shapeId="0">
      <text>
        <t>Source Agrosemens : https://www.agrosemens.com/blog/la-chicoree-scarole-bio/</t>
      </text>
    </comment>
    <comment ref="F61" authorId="0" shapeId="0">
      <text>
        <t>Biointensif / maraîchage intensif sur planches permanentes. Sources de base : The Market Gardener (planches 75 cm) https://themarketgardener.com/farming-techniques/biointensive-agriculture-how-to-cultivate-in-permanent-raised-beds/ ; Eliot Coleman via Johnny's (3, 6 ou 12 rangs sur planche de 30 pouces) https://www.johnnyseeds.com/growers-library/farm-visits-grower-profiles/four-season-farm-eliot-coleman-landing.html ; MOFGA (carotte à 12 rangs/planche, espacement 2,5 pouces) https://www.mofga.org/resources/season-extension/spring-growth/ ; K-State Intensive Spacing for Raised Beds (distances entre plants en jardinage intensif) https://www.johnson.k-state.edu/programs/lawn-garden/agent-articles-fact-sheets-and-more/agent-articles/vegetables/Intensive%20Spacing%20for%20Raised%20Beds_13.pdf . Pour quelques espèces non listées explicitement, valeur déduite par équivalent cultural proche (ex. pak choï/bok choï ~ chinese cabbage ; chicorée ~ endive).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2" sqref="C2"/>
    </sheetView>
  </sheetViews>
  <sheetFormatPr baseColWidth="10" defaultRowHeight="15"/>
  <cols>
    <col width="22" customWidth="1" style="38" min="1" max="1"/>
    <col width="22" customWidth="1" style="38" min="2" max="2"/>
    <col width="22" customWidth="1" style="38" min="3" max="3"/>
    <col width="35" customWidth="1" style="38" min="4" max="5"/>
    <col width="28" customWidth="1" style="38" min="5" max="5"/>
    <col width="38" customWidth="1" style="38" min="6" max="6"/>
  </cols>
  <sheetData>
    <row r="1" ht="35" customHeight="1" s="38">
      <c r="A1" s="62" t="inlineStr">
        <is>
          <t>Familles</t>
        </is>
      </c>
      <c r="B1" s="62" t="inlineStr">
        <is>
          <t>Espèce</t>
        </is>
      </c>
      <c r="C1" s="62" t="inlineStr">
        <is>
          <t>Type de semis</t>
        </is>
      </c>
      <c r="D1" s="62" t="inlineStr">
        <is>
          <t>Recommandation maraîchère</t>
        </is>
      </c>
      <c r="E1" s="62" t="inlineStr">
        <is>
          <t>Profondeur de semis (cm)</t>
        </is>
      </c>
      <c r="F1" s="62" t="inlineStr">
        <is>
          <t>Source</t>
        </is>
      </c>
    </row>
    <row r="2" ht="28" customHeight="1" s="38">
      <c r="A2" s="63" t="inlineStr">
        <is>
          <t>Curcubitacées</t>
        </is>
      </c>
      <c r="B2" s="64" t="inlineStr">
        <is>
          <t>Courge</t>
        </is>
      </c>
      <c r="C2" s="65" t="inlineStr">
        <is>
          <t>Motte (godet)</t>
        </is>
      </c>
      <c r="D2" s="66" t="inlineStr">
        <is>
          <t>1 graine / motte</t>
        </is>
      </c>
      <c r="E2" s="67" t="inlineStr">
        <is>
          <t>2 cm</t>
        </is>
      </c>
      <c r="F2" s="66" t="inlineStr">
        <is>
          <t>AgroBio Bretagne – Production de plants maraîchers</t>
        </is>
      </c>
    </row>
    <row r="3" ht="28" customHeight="1" s="38">
      <c r="A3" s="96" t="n"/>
      <c r="B3" s="64" t="inlineStr">
        <is>
          <t>Potiron</t>
        </is>
      </c>
      <c r="C3" s="65" t="inlineStr">
        <is>
          <t>Motte</t>
        </is>
      </c>
      <c r="D3" s="66" t="inlineStr">
        <is>
          <t>1 graine / motte</t>
        </is>
      </c>
      <c r="E3" s="67" t="inlineStr">
        <is>
          <t>2 cm</t>
        </is>
      </c>
      <c r="F3" s="66" t="inlineStr">
        <is>
          <t>AgroBio Bretagne – idem</t>
        </is>
      </c>
    </row>
    <row r="4" ht="28" customHeight="1" s="38">
      <c r="A4" s="96" t="n"/>
      <c r="B4" s="64" t="inlineStr">
        <is>
          <t>Potimarron</t>
        </is>
      </c>
      <c r="C4" s="65" t="inlineStr">
        <is>
          <t>Motte</t>
        </is>
      </c>
      <c r="D4" s="66" t="inlineStr">
        <is>
          <t>1 graine / motte</t>
        </is>
      </c>
      <c r="E4" s="67" t="inlineStr">
        <is>
          <t>2 cm</t>
        </is>
      </c>
      <c r="F4" s="66" t="inlineStr">
        <is>
          <t>AgroBio Bretagne – idem</t>
        </is>
      </c>
    </row>
    <row r="5" ht="28" customHeight="1" s="38">
      <c r="A5" s="96" t="n"/>
      <c r="B5" s="64" t="inlineStr">
        <is>
          <t>Courgette</t>
        </is>
      </c>
      <c r="C5" s="65" t="inlineStr">
        <is>
          <t>Motte</t>
        </is>
      </c>
      <c r="D5" s="66" t="inlineStr">
        <is>
          <t>1 graine / motte</t>
        </is>
      </c>
      <c r="E5" s="67" t="inlineStr">
        <is>
          <t>2 cm (graine pointue vers le haut)</t>
        </is>
      </c>
      <c r="F5" s="66" t="inlineStr">
        <is>
          <t>GRAB / AgroBio – pratiques pépinière</t>
        </is>
      </c>
    </row>
    <row r="6" ht="28" customHeight="1" s="38">
      <c r="A6" s="96" t="n"/>
      <c r="B6" s="64" t="inlineStr">
        <is>
          <t>Concombre</t>
        </is>
      </c>
      <c r="C6" s="65" t="inlineStr">
        <is>
          <t>Motte</t>
        </is>
      </c>
      <c r="D6" s="66" t="inlineStr">
        <is>
          <t>1 graine / motte</t>
        </is>
      </c>
      <c r="E6" s="67" t="inlineStr">
        <is>
          <t>1–2 cm</t>
        </is>
      </c>
      <c r="F6" s="66" t="inlineStr">
        <is>
          <t>AgroBio Bretagne</t>
        </is>
      </c>
    </row>
    <row r="7" ht="28" customHeight="1" s="38">
      <c r="A7" s="96" t="n"/>
      <c r="B7" s="64" t="inlineStr">
        <is>
          <t>Melon</t>
        </is>
      </c>
      <c r="C7" s="65" t="inlineStr">
        <is>
          <t>Motte</t>
        </is>
      </c>
      <c r="D7" s="66" t="inlineStr">
        <is>
          <t>1 graine / motte</t>
        </is>
      </c>
      <c r="E7" s="67" t="inlineStr">
        <is>
          <t>1–2 cm</t>
        </is>
      </c>
      <c r="F7" s="66" t="inlineStr">
        <is>
          <t>GRAB – fiche melon</t>
        </is>
      </c>
    </row>
    <row r="8" ht="28" customHeight="1" s="38">
      <c r="A8" s="97" t="n"/>
      <c r="B8" s="64" t="inlineStr">
        <is>
          <t>Pastèque</t>
        </is>
      </c>
      <c r="C8" s="65" t="inlineStr">
        <is>
          <t>Motte</t>
        </is>
      </c>
      <c r="D8" s="66" t="inlineStr">
        <is>
          <t>1 graine / motte</t>
        </is>
      </c>
      <c r="E8" s="67" t="inlineStr">
        <is>
          <t>2 cm</t>
        </is>
      </c>
      <c r="F8" s="66" t="inlineStr">
        <is>
          <t>AgroBio – conduite pépinière</t>
        </is>
      </c>
    </row>
    <row r="9" ht="8" customHeight="1" s="38"/>
    <row r="10" ht="28" customHeight="1" s="38">
      <c r="A10" s="63" t="inlineStr">
        <is>
          <t>Solanacées</t>
        </is>
      </c>
      <c r="B10" s="64" t="inlineStr">
        <is>
          <t>Tomate</t>
        </is>
      </c>
      <c r="C10" s="65" t="inlineStr">
        <is>
          <t>Motte</t>
        </is>
      </c>
      <c r="D10" s="66" t="inlineStr">
        <is>
          <t>1 graine / motte</t>
        </is>
      </c>
      <c r="E10" s="67" t="inlineStr">
        <is>
          <t>0,5 cm</t>
        </is>
      </c>
      <c r="F10" s="66" t="inlineStr">
        <is>
          <t>AgroBio Bretagne – Prod. de plants</t>
        </is>
      </c>
    </row>
    <row r="11" ht="28" customHeight="1" s="38">
      <c r="A11" s="96" t="n"/>
      <c r="B11" s="64" t="inlineStr">
        <is>
          <t>Aubergine</t>
        </is>
      </c>
      <c r="C11" s="65" t="inlineStr">
        <is>
          <t>Motte</t>
        </is>
      </c>
      <c r="D11" s="66" t="inlineStr">
        <is>
          <t>1 graine / motte</t>
        </is>
      </c>
      <c r="E11" s="67" t="inlineStr">
        <is>
          <t>3 mm (graine fine)</t>
        </is>
      </c>
      <c r="F11" s="66" t="inlineStr">
        <is>
          <t>AgroBio Bretagne</t>
        </is>
      </c>
    </row>
    <row r="12" ht="28" customHeight="1" s="38">
      <c r="A12" s="96" t="n"/>
      <c r="B12" s="64" t="inlineStr">
        <is>
          <t>Poivron</t>
        </is>
      </c>
      <c r="C12" s="65" t="inlineStr">
        <is>
          <t>Motte</t>
        </is>
      </c>
      <c r="D12" s="66" t="inlineStr">
        <is>
          <t>1 graine / motte</t>
        </is>
      </c>
      <c r="E12" s="67" t="inlineStr">
        <is>
          <t>3–5 mm</t>
        </is>
      </c>
      <c r="F12" s="66" t="inlineStr">
        <is>
          <t>AgroBio Bretagne</t>
        </is>
      </c>
    </row>
    <row r="13" ht="28" customHeight="1" s="38">
      <c r="A13" s="97" t="n"/>
      <c r="B13" s="64" t="inlineStr">
        <is>
          <t>Piment</t>
        </is>
      </c>
      <c r="C13" s="65" t="inlineStr">
        <is>
          <t>Motte</t>
        </is>
      </c>
      <c r="D13" s="66" t="inlineStr">
        <is>
          <t>1 graine / motte</t>
        </is>
      </c>
      <c r="E13" s="67" t="inlineStr">
        <is>
          <t>3–5 mm</t>
        </is>
      </c>
      <c r="F13" s="66" t="inlineStr">
        <is>
          <t>AgroBio Bretagne</t>
        </is>
      </c>
    </row>
    <row r="14" ht="8" customHeight="1" s="38"/>
    <row r="15" ht="28" customHeight="1" s="38">
      <c r="A15" s="63" t="inlineStr">
        <is>
          <t>Alliacées</t>
        </is>
      </c>
      <c r="B15" s="64" t="inlineStr">
        <is>
          <t>Poireau</t>
        </is>
      </c>
      <c r="C15" s="65" t="inlineStr">
        <is>
          <t>Ligne ou pépinière</t>
        </is>
      </c>
      <c r="D15" s="66" t="inlineStr">
        <is>
          <t>Semis dense, éclaircissage / repiquage</t>
        </is>
      </c>
      <c r="E15" s="67" t="inlineStr">
        <is>
          <t>1–1,5 cm</t>
        </is>
      </c>
      <c r="F15" s="66" t="inlineStr">
        <is>
          <t>GAB Bretagne – fiche poireau</t>
        </is>
      </c>
    </row>
    <row r="16" ht="28" customHeight="1" s="38">
      <c r="A16" s="96" t="n"/>
      <c r="B16" s="64" t="inlineStr">
        <is>
          <t>Oignon</t>
        </is>
      </c>
      <c r="C16" s="65" t="inlineStr">
        <is>
          <t>Ligne</t>
        </is>
      </c>
      <c r="D16" s="66" t="inlineStr">
        <is>
          <t>Semis en ligne, éclaircir</t>
        </is>
      </c>
      <c r="E16" s="67" t="inlineStr">
        <is>
          <t>1,5–2 cm</t>
        </is>
      </c>
      <c r="F16" s="66" t="inlineStr">
        <is>
          <t>AgroBio / GAB</t>
        </is>
      </c>
    </row>
    <row r="17" ht="28" customHeight="1" s="38">
      <c r="A17" s="96" t="n"/>
      <c r="B17" s="64" t="inlineStr">
        <is>
          <t>Ciboule</t>
        </is>
      </c>
      <c r="C17" s="65" t="inlineStr">
        <is>
          <t>Ligne</t>
        </is>
      </c>
      <c r="D17" s="66" t="inlineStr">
        <is>
          <t>Semis en ligne, éclaircir</t>
        </is>
      </c>
      <c r="E17" s="67" t="inlineStr">
        <is>
          <t>0,5–1 cm</t>
        </is>
      </c>
      <c r="F17" s="66" t="inlineStr">
        <is>
          <t>GAB</t>
        </is>
      </c>
    </row>
    <row r="18" ht="28" customHeight="1" s="38">
      <c r="A18" s="97" t="n"/>
      <c r="B18" s="64" t="inlineStr">
        <is>
          <t>Échalote (semis)</t>
        </is>
      </c>
      <c r="C18" s="65" t="inlineStr">
        <is>
          <t>Ligne</t>
        </is>
      </c>
      <c r="D18" s="66" t="inlineStr">
        <is>
          <t>Semis fin, éclaircir</t>
        </is>
      </c>
      <c r="E18" s="67" t="inlineStr">
        <is>
          <t>1–1,5 cm</t>
        </is>
      </c>
      <c r="F18" s="66" t="inlineStr">
        <is>
          <t>AgroBio</t>
        </is>
      </c>
    </row>
    <row r="19" ht="8" customHeight="1" s="38"/>
    <row r="20" ht="28" customHeight="1" s="38">
      <c r="A20" s="63" t="inlineStr">
        <is>
          <t>Choux &amp; brassicacées</t>
        </is>
      </c>
      <c r="B20" s="64" t="inlineStr">
        <is>
          <t>Chou cabus</t>
        </is>
      </c>
      <c r="C20" s="65" t="inlineStr">
        <is>
          <t>Motte</t>
        </is>
      </c>
      <c r="D20" s="66" t="inlineStr">
        <is>
          <t>1 graine / motte</t>
        </is>
      </c>
      <c r="E20" s="67" t="inlineStr">
        <is>
          <t>0,5–1 cm</t>
        </is>
      </c>
      <c r="F20" s="66" t="inlineStr">
        <is>
          <t>AgroBio Bretagne</t>
        </is>
      </c>
    </row>
    <row r="21" ht="28" customHeight="1" s="38">
      <c r="A21" s="96" t="n"/>
      <c r="B21" s="64" t="inlineStr">
        <is>
          <t>Chou frisé</t>
        </is>
      </c>
      <c r="C21" s="65" t="inlineStr">
        <is>
          <t>Motte</t>
        </is>
      </c>
      <c r="D21" s="66" t="inlineStr">
        <is>
          <t>1 graine / motte</t>
        </is>
      </c>
      <c r="E21" s="67" t="inlineStr">
        <is>
          <t>0,5–1 cm</t>
        </is>
      </c>
      <c r="F21" s="66" t="inlineStr">
        <is>
          <t>AgroBio Bretagne</t>
        </is>
      </c>
    </row>
    <row r="22" ht="28" customHeight="1" s="38">
      <c r="A22" s="96" t="n"/>
      <c r="B22" s="64" t="inlineStr">
        <is>
          <t>Chou-fleur</t>
        </is>
      </c>
      <c r="C22" s="65" t="inlineStr">
        <is>
          <t>Motte</t>
        </is>
      </c>
      <c r="D22" s="66" t="inlineStr">
        <is>
          <t>1 graine / motte</t>
        </is>
      </c>
      <c r="E22" s="67" t="inlineStr">
        <is>
          <t>0,5–1 cm</t>
        </is>
      </c>
      <c r="F22" s="66" t="inlineStr">
        <is>
          <t>AgroBio Bretagne</t>
        </is>
      </c>
    </row>
    <row r="23" ht="28" customHeight="1" s="38">
      <c r="A23" s="96" t="n"/>
      <c r="B23" s="64" t="inlineStr">
        <is>
          <t>Brocoli</t>
        </is>
      </c>
      <c r="C23" s="65" t="inlineStr">
        <is>
          <t>Motte</t>
        </is>
      </c>
      <c r="D23" s="66" t="inlineStr">
        <is>
          <t>1 graine / motte</t>
        </is>
      </c>
      <c r="E23" s="67" t="inlineStr">
        <is>
          <t>0,5–1 cm</t>
        </is>
      </c>
      <c r="F23" s="66" t="inlineStr">
        <is>
          <t>AgroBio Bretagne</t>
        </is>
      </c>
    </row>
    <row r="24" ht="28" customHeight="1" s="38">
      <c r="A24" s="96" t="n"/>
      <c r="B24" s="64" t="inlineStr">
        <is>
          <t>Chou de Bruxelles</t>
        </is>
      </c>
      <c r="C24" s="65" t="inlineStr">
        <is>
          <t>Motte</t>
        </is>
      </c>
      <c r="D24" s="66" t="inlineStr">
        <is>
          <t>1 graine / motte</t>
        </is>
      </c>
      <c r="E24" s="67" t="inlineStr">
        <is>
          <t>0,5–1 cm</t>
        </is>
      </c>
      <c r="F24" s="66" t="inlineStr">
        <is>
          <t>AgroBio Bretagne</t>
        </is>
      </c>
    </row>
    <row r="25" ht="28" customHeight="1" s="38">
      <c r="A25" s="96" t="n"/>
      <c r="B25" s="64" t="inlineStr">
        <is>
          <t>Pak choï</t>
        </is>
      </c>
      <c r="C25" s="65" t="inlineStr">
        <is>
          <t>Ligne ou motte</t>
        </is>
      </c>
      <c r="D25" s="66" t="inlineStr">
        <is>
          <t>Semis fin ou 1 graine/motte</t>
        </is>
      </c>
      <c r="E25" s="67" t="inlineStr">
        <is>
          <t>0,5 cm</t>
        </is>
      </c>
      <c r="F25" s="66" t="inlineStr">
        <is>
          <t>GAB</t>
        </is>
      </c>
    </row>
    <row r="26" ht="28" customHeight="1" s="38">
      <c r="A26" s="96" t="n"/>
      <c r="B26" s="64" t="inlineStr">
        <is>
          <t>Bok choï</t>
        </is>
      </c>
      <c r="C26" s="65" t="inlineStr">
        <is>
          <t>Ligne ou motte</t>
        </is>
      </c>
      <c r="D26" s="66" t="inlineStr">
        <is>
          <t>Semis fin ou 1 graine/motte</t>
        </is>
      </c>
      <c r="E26" s="67" t="inlineStr">
        <is>
          <t>0,5 cm</t>
        </is>
      </c>
      <c r="F26" s="66" t="inlineStr">
        <is>
          <t>GAB</t>
        </is>
      </c>
    </row>
    <row r="27" ht="28" customHeight="1" s="38">
      <c r="A27" s="96" t="n"/>
      <c r="B27" s="64" t="inlineStr">
        <is>
          <t>Navet</t>
        </is>
      </c>
      <c r="C27" s="65" t="inlineStr">
        <is>
          <t>Ligne</t>
        </is>
      </c>
      <c r="D27" s="66" t="inlineStr">
        <is>
          <t>Semis fin en ligne</t>
        </is>
      </c>
      <c r="E27" s="67" t="inlineStr">
        <is>
          <t>0,5–1 cm</t>
        </is>
      </c>
      <c r="F27" s="66" t="inlineStr">
        <is>
          <t>AgroBio Bretagne</t>
        </is>
      </c>
    </row>
    <row r="28" ht="28" customHeight="1" s="38">
      <c r="A28" s="97" t="n"/>
      <c r="B28" s="64" t="inlineStr">
        <is>
          <t>Radis</t>
        </is>
      </c>
      <c r="C28" s="65" t="inlineStr">
        <is>
          <t>Ligne</t>
        </is>
      </c>
      <c r="D28" s="66" t="inlineStr">
        <is>
          <t>Semis fin en ligne</t>
        </is>
      </c>
      <c r="E28" s="67" t="inlineStr">
        <is>
          <t>Ronds : 0,5–1 cm ; demi-longs : 2–3 cm</t>
        </is>
      </c>
      <c r="F28" s="66" t="inlineStr">
        <is>
          <t>GAB</t>
        </is>
      </c>
    </row>
    <row r="29" ht="8" customHeight="1" s="38"/>
    <row r="30" ht="28" customHeight="1" s="38">
      <c r="A30" s="63" t="inlineStr">
        <is>
          <t>Légumineuses</t>
        </is>
      </c>
      <c r="B30" s="64" t="inlineStr">
        <is>
          <t>Pois</t>
        </is>
      </c>
      <c r="C30" s="65" t="inlineStr">
        <is>
          <t>Semis direct</t>
        </is>
      </c>
      <c r="D30" s="66" t="inlineStr">
        <is>
          <t>1 graine tous les 2–5 cm</t>
        </is>
      </c>
      <c r="E30" s="67" t="inlineStr">
        <is>
          <t>3–4 cm</t>
        </is>
      </c>
      <c r="F30" s="66" t="inlineStr">
        <is>
          <t>GAB / FNAB</t>
        </is>
      </c>
    </row>
    <row r="31" ht="28" customHeight="1" s="38">
      <c r="A31" s="96" t="n"/>
      <c r="B31" s="64" t="inlineStr">
        <is>
          <t>Pois mangetout</t>
        </is>
      </c>
      <c r="C31" s="65" t="inlineStr">
        <is>
          <t>Semis direct</t>
        </is>
      </c>
      <c r="D31" s="66" t="inlineStr">
        <is>
          <t>1 graine tous les 2–5 cm</t>
        </is>
      </c>
      <c r="E31" s="67" t="inlineStr">
        <is>
          <t>3–4 cm</t>
        </is>
      </c>
      <c r="F31" s="66" t="inlineStr">
        <is>
          <t>GAB</t>
        </is>
      </c>
    </row>
    <row r="32" ht="28" customHeight="1" s="38">
      <c r="A32" s="96" t="n"/>
      <c r="B32" s="64" t="inlineStr">
        <is>
          <t>Fève</t>
        </is>
      </c>
      <c r="C32" s="65" t="inlineStr">
        <is>
          <t>Semis direct</t>
        </is>
      </c>
      <c r="D32" s="66" t="inlineStr">
        <is>
          <t>1 graine par emplacement</t>
        </is>
      </c>
      <c r="E32" s="67" t="inlineStr">
        <is>
          <t>6 cm</t>
        </is>
      </c>
      <c r="F32" s="66" t="inlineStr">
        <is>
          <t>AgroBio</t>
        </is>
      </c>
    </row>
    <row r="33" ht="28" customHeight="1" s="38">
      <c r="A33" s="96" t="n"/>
      <c r="B33" s="64" t="inlineStr">
        <is>
          <t>Haricot nain</t>
        </is>
      </c>
      <c r="C33" s="65" t="inlineStr">
        <is>
          <t>Semis direct</t>
        </is>
      </c>
      <c r="D33" s="66" t="inlineStr">
        <is>
          <t>1 graine par emplacement</t>
        </is>
      </c>
      <c r="E33" s="67" t="inlineStr">
        <is>
          <t>3 cm</t>
        </is>
      </c>
      <c r="F33" s="66" t="inlineStr">
        <is>
          <t>GRAB</t>
        </is>
      </c>
    </row>
    <row r="34" ht="28" customHeight="1" s="38">
      <c r="A34" s="96" t="n"/>
      <c r="B34" s="64" t="inlineStr">
        <is>
          <t>Haricot à rame</t>
        </is>
      </c>
      <c r="C34" s="65" t="inlineStr">
        <is>
          <t>Semis direct</t>
        </is>
      </c>
      <c r="D34" s="66" t="inlineStr">
        <is>
          <t>1 graine par emplacement</t>
        </is>
      </c>
      <c r="E34" s="67" t="inlineStr">
        <is>
          <t>3 cm</t>
        </is>
      </c>
      <c r="F34" s="66" t="inlineStr">
        <is>
          <t>GRAB</t>
        </is>
      </c>
      <c r="H34" t="n">
        <v>7</v>
      </c>
    </row>
    <row r="35" ht="28" customHeight="1" s="38">
      <c r="A35" s="97" t="n"/>
      <c r="B35" s="64" t="inlineStr">
        <is>
          <t>Pois chiche</t>
        </is>
      </c>
      <c r="C35" s="65" t="inlineStr">
        <is>
          <t>Semis direct</t>
        </is>
      </c>
      <c r="D35" s="66" t="inlineStr">
        <is>
          <t>1 graine par emplacement</t>
        </is>
      </c>
      <c r="E35" s="67" t="inlineStr">
        <is>
          <t>3–5 cm</t>
        </is>
      </c>
      <c r="F35" s="66" t="inlineStr">
        <is>
          <t>GAB</t>
        </is>
      </c>
    </row>
    <row r="36" ht="8" customHeight="1" s="38"/>
    <row r="37" ht="28" customHeight="1" s="38">
      <c r="A37" s="63" t="inlineStr">
        <is>
          <t>Légumes- feuilles</t>
        </is>
      </c>
      <c r="B37" s="64" t="inlineStr">
        <is>
          <t>Laitue</t>
        </is>
      </c>
      <c r="C37" s="65" t="inlineStr">
        <is>
          <t>Motte</t>
        </is>
      </c>
      <c r="D37" s="66" t="inlineStr">
        <is>
          <t>1 graine / motte</t>
        </is>
      </c>
      <c r="E37" s="67" t="inlineStr">
        <is>
          <t>0,5 cm (ne pas enterrer trop)</t>
        </is>
      </c>
      <c r="F37" s="66" t="inlineStr">
        <is>
          <t>AgroBio Bretagne</t>
        </is>
      </c>
    </row>
    <row r="38" ht="28" customHeight="1" s="38">
      <c r="A38" s="96" t="n"/>
      <c r="B38" s="64" t="inlineStr">
        <is>
          <t>Batavia</t>
        </is>
      </c>
      <c r="C38" s="65" t="inlineStr">
        <is>
          <t>Motte</t>
        </is>
      </c>
      <c r="D38" s="66" t="inlineStr">
        <is>
          <t>1 graine / motte</t>
        </is>
      </c>
      <c r="E38" s="67" t="inlineStr">
        <is>
          <t>0,5 cm</t>
        </is>
      </c>
      <c r="F38" s="66" t="inlineStr">
        <is>
          <t>AgroBio Bretagne</t>
        </is>
      </c>
    </row>
    <row r="39" ht="28" customHeight="1" s="38">
      <c r="A39" s="96" t="n"/>
      <c r="B39" s="64" t="inlineStr">
        <is>
          <t>Feuille de chêne</t>
        </is>
      </c>
      <c r="C39" s="65" t="inlineStr">
        <is>
          <t>Motte</t>
        </is>
      </c>
      <c r="D39" s="66" t="inlineStr">
        <is>
          <t>1 graine / motte</t>
        </is>
      </c>
      <c r="E39" s="67" t="inlineStr">
        <is>
          <t>0,5 cm</t>
        </is>
      </c>
      <c r="F39" s="66" t="inlineStr">
        <is>
          <t>AgroBio Bretagne</t>
        </is>
      </c>
    </row>
    <row r="40" ht="28" customHeight="1" s="38">
      <c r="A40" s="96" t="n"/>
      <c r="B40" s="64" t="inlineStr">
        <is>
          <t>Mâche</t>
        </is>
      </c>
      <c r="C40" s="65" t="inlineStr">
        <is>
          <t>Motte</t>
        </is>
      </c>
      <c r="D40" s="66" t="inlineStr">
        <is>
          <t>9 graine / motte</t>
        </is>
      </c>
      <c r="E40" s="67" t="inlineStr">
        <is>
          <t>0,5–1 cm</t>
        </is>
      </c>
      <c r="F40" s="66" t="inlineStr">
        <is>
          <t>GAB</t>
        </is>
      </c>
    </row>
    <row r="41" ht="28" customHeight="1" s="38">
      <c r="A41" s="96" t="n"/>
      <c r="B41" s="64" t="inlineStr">
        <is>
          <t>Épinard</t>
        </is>
      </c>
      <c r="C41" s="65" t="inlineStr">
        <is>
          <t>Motte</t>
        </is>
      </c>
      <c r="D41" s="66" t="inlineStr">
        <is>
          <t>6 graine / motte</t>
        </is>
      </c>
      <c r="E41" s="67" t="inlineStr">
        <is>
          <t>1–2 cm</t>
        </is>
      </c>
      <c r="F41" s="66" t="inlineStr">
        <is>
          <t>AgroBio</t>
        </is>
      </c>
    </row>
    <row r="42" ht="28" customHeight="1" s="38">
      <c r="A42" s="97" t="n"/>
      <c r="B42" s="64" t="inlineStr">
        <is>
          <t>Roquette</t>
        </is>
      </c>
      <c r="C42" s="65" t="inlineStr">
        <is>
          <t>Motte</t>
        </is>
      </c>
      <c r="D42" s="66" t="inlineStr">
        <is>
          <t>5 graine / motte</t>
        </is>
      </c>
      <c r="E42" s="67" t="inlineStr">
        <is>
          <t>0,5 cm</t>
        </is>
      </c>
      <c r="F42" s="66" t="inlineStr">
        <is>
          <t>GAB</t>
        </is>
      </c>
    </row>
    <row r="43" ht="8" customHeight="1" s="38"/>
    <row r="44" ht="28" customHeight="1" s="38">
      <c r="A44" s="63" t="inlineStr">
        <is>
          <t>Racines</t>
        </is>
      </c>
      <c r="B44" s="64" t="inlineStr">
        <is>
          <t>Carotte</t>
        </is>
      </c>
      <c r="C44" s="65" t="inlineStr">
        <is>
          <t>Ligne</t>
        </is>
      </c>
      <c r="D44" s="66" t="inlineStr">
        <is>
          <t>Semis très fin, éclaircir</t>
        </is>
      </c>
      <c r="E44" s="67" t="inlineStr">
        <is>
          <t>1 cm (plus profond en été)</t>
        </is>
      </c>
      <c r="F44" s="66" t="inlineStr">
        <is>
          <t>AgroBio Bretagne – fiche carotte</t>
        </is>
      </c>
    </row>
    <row r="45" ht="28" customHeight="1" s="38">
      <c r="A45" s="96" t="n"/>
      <c r="B45" s="64" t="inlineStr">
        <is>
          <t>Betterave</t>
        </is>
      </c>
      <c r="C45" s="65" t="inlineStr">
        <is>
          <t>Motte</t>
        </is>
      </c>
      <c r="D45" s="66" t="inlineStr">
        <is>
          <t>1 graine / motte</t>
        </is>
      </c>
      <c r="E45" s="67" t="inlineStr">
        <is>
          <t>2 cm</t>
        </is>
      </c>
      <c r="F45" s="66" t="n"/>
    </row>
    <row r="46" ht="28" customHeight="1" s="38">
      <c r="A46" s="96" t="n"/>
      <c r="B46" s="64" t="inlineStr">
        <is>
          <t>Betterave</t>
        </is>
      </c>
      <c r="C46" s="65" t="inlineStr">
        <is>
          <t>Ligne</t>
        </is>
      </c>
      <c r="D46" s="66" t="inlineStr">
        <is>
          <t>Semis en ligne (glomérule)</t>
        </is>
      </c>
      <c r="E46" s="67" t="inlineStr">
        <is>
          <t>2 cm</t>
        </is>
      </c>
      <c r="F46" s="66" t="inlineStr">
        <is>
          <t>AgroBio</t>
        </is>
      </c>
    </row>
    <row r="47" ht="28" customHeight="1" s="38">
      <c r="A47" s="96" t="n"/>
      <c r="B47" s="64" t="inlineStr">
        <is>
          <t>Blette</t>
        </is>
      </c>
      <c r="C47" s="65" t="inlineStr">
        <is>
          <t>Ligne</t>
        </is>
      </c>
      <c r="D47" s="66" t="inlineStr">
        <is>
          <t>Semis en ligne (glomérule)</t>
        </is>
      </c>
      <c r="E47" s="67" t="inlineStr">
        <is>
          <t>2 cm</t>
        </is>
      </c>
      <c r="F47" s="66" t="inlineStr">
        <is>
          <t>GAB</t>
        </is>
      </c>
    </row>
    <row r="48" ht="28" customHeight="1" s="38">
      <c r="A48" s="96" t="n"/>
      <c r="B48" s="64" t="inlineStr">
        <is>
          <t>Panais</t>
        </is>
      </c>
      <c r="C48" s="65" t="inlineStr">
        <is>
          <t>Ligne</t>
        </is>
      </c>
      <c r="D48" s="66" t="inlineStr">
        <is>
          <t>Semis fin, levée lente</t>
        </is>
      </c>
      <c r="E48" s="67" t="inlineStr">
        <is>
          <t>1,5–2 cm</t>
        </is>
      </c>
      <c r="F48" s="66" t="inlineStr">
        <is>
          <t>AgroBio</t>
        </is>
      </c>
    </row>
    <row r="49" ht="28" customHeight="1" s="38">
      <c r="A49" s="97" t="n"/>
      <c r="B49" s="64" t="inlineStr">
        <is>
          <t>Radis noir</t>
        </is>
      </c>
      <c r="C49" s="65" t="inlineStr">
        <is>
          <t>Ligne</t>
        </is>
      </c>
      <c r="D49" s="66" t="inlineStr">
        <is>
          <t>Semis en ligne</t>
        </is>
      </c>
      <c r="E49" s="67" t="inlineStr">
        <is>
          <t>1–2 cm</t>
        </is>
      </c>
      <c r="F49" s="66" t="inlineStr">
        <is>
          <t>GAB</t>
        </is>
      </c>
    </row>
    <row r="50" ht="8" customHeight="1" s="38"/>
    <row r="51" ht="28" customHeight="1" s="38">
      <c r="A51" s="63" t="inlineStr">
        <is>
          <t>Autres</t>
        </is>
      </c>
      <c r="B51" s="64" t="inlineStr">
        <is>
          <t>Maïs doux</t>
        </is>
      </c>
      <c r="C51" s="65" t="inlineStr">
        <is>
          <t>Semis direct</t>
        </is>
      </c>
      <c r="D51" s="66" t="inlineStr">
        <is>
          <t>1 graine par emplacement</t>
        </is>
      </c>
      <c r="E51" s="67" t="inlineStr">
        <is>
          <t>3–5 cm</t>
        </is>
      </c>
      <c r="F51" s="66" t="inlineStr">
        <is>
          <t>GRAB</t>
        </is>
      </c>
    </row>
    <row r="52" ht="28" customHeight="1" s="38">
      <c r="A52" s="96" t="n"/>
      <c r="B52" s="64" t="inlineStr">
        <is>
          <t>Fenouil</t>
        </is>
      </c>
      <c r="C52" s="65" t="inlineStr">
        <is>
          <t>Ligne ou motte</t>
        </is>
      </c>
      <c r="D52" s="66" t="inlineStr">
        <is>
          <t>Semis fin ou 1 graine/motte</t>
        </is>
      </c>
      <c r="E52" s="67" t="inlineStr">
        <is>
          <t>0,5–1 cm</t>
        </is>
      </c>
      <c r="F52" s="66" t="inlineStr">
        <is>
          <t>AgroBio</t>
        </is>
      </c>
    </row>
    <row r="53" ht="28" customHeight="1" s="38">
      <c r="A53" s="96" t="n"/>
      <c r="B53" s="64" t="inlineStr">
        <is>
          <t>Céleri branche</t>
        </is>
      </c>
      <c r="C53" s="65" t="inlineStr">
        <is>
          <t>Motte</t>
        </is>
      </c>
      <c r="D53" s="66" t="inlineStr">
        <is>
          <t>1 graine / motte</t>
        </is>
      </c>
      <c r="E53" s="67" t="inlineStr">
        <is>
          <t>Surface (non enterré)</t>
        </is>
      </c>
      <c r="F53" s="66" t="inlineStr">
        <is>
          <t>AgroBio Bretagne</t>
        </is>
      </c>
    </row>
    <row r="54" ht="28" customHeight="1" s="38">
      <c r="A54" s="96" t="n"/>
      <c r="B54" s="64" t="inlineStr">
        <is>
          <t>Céleri-rave</t>
        </is>
      </c>
      <c r="C54" s="65" t="inlineStr">
        <is>
          <t>Motte</t>
        </is>
      </c>
      <c r="D54" s="66" t="inlineStr">
        <is>
          <t>1 graine / motte</t>
        </is>
      </c>
      <c r="E54" s="67" t="inlineStr">
        <is>
          <t>Surface</t>
        </is>
      </c>
      <c r="F54" s="66" t="inlineStr">
        <is>
          <t>AgroBio Bretagne</t>
        </is>
      </c>
    </row>
    <row r="55" ht="28" customHeight="1" s="38">
      <c r="A55" s="97" t="n"/>
      <c r="B55" s="64" t="inlineStr">
        <is>
          <t>Chicorée</t>
        </is>
      </c>
      <c r="C55" s="65" t="inlineStr">
        <is>
          <t>Motte</t>
        </is>
      </c>
      <c r="D55" s="66" t="inlineStr">
        <is>
          <t>1 graine / motte</t>
        </is>
      </c>
      <c r="E55" s="67" t="inlineStr">
        <is>
          <t>0,5–1 cm</t>
        </is>
      </c>
      <c r="F55" s="66" t="inlineStr">
        <is>
          <t>AgroBio</t>
        </is>
      </c>
    </row>
  </sheetData>
  <mergeCells count="8">
    <mergeCell ref="A51:A55"/>
    <mergeCell ref="A20:A28"/>
    <mergeCell ref="A2:A8"/>
    <mergeCell ref="A15:A18"/>
    <mergeCell ref="A10:A13"/>
    <mergeCell ref="A44:A49"/>
    <mergeCell ref="A37:A42"/>
    <mergeCell ref="A30:A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10" defaultColWidth="16" defaultRowHeight="15"/>
  <cols>
    <col width="22" customWidth="1" style="37" min="1" max="2"/>
    <col width="22" customWidth="1" style="38" min="2" max="2"/>
    <col width="22" customWidth="1" style="37" min="3" max="3"/>
    <col width="32" customWidth="1" style="37" min="4" max="4"/>
    <col width="22" customWidth="1" style="38" min="5" max="5"/>
    <col width="22" customWidth="1" style="37" min="6" max="6"/>
    <col width="22" customWidth="1" style="37" min="7" max="7"/>
    <col width="22" customWidth="1" style="37" min="8" max="8"/>
    <col width="16" customWidth="1" style="37" min="9" max="9"/>
    <col width="16" customWidth="1" style="38" min="10" max="10"/>
    <col width="22" customWidth="1" style="38" min="11" max="11"/>
    <col hidden="1" width="13" customWidth="1" style="38" min="12" max="17"/>
    <col hidden="1" width="13" customWidth="1" style="38" min="13" max="13"/>
    <col hidden="1" width="13" customWidth="1" style="38" min="14" max="14"/>
    <col hidden="1" width="13" customWidth="1" style="38" min="15" max="15"/>
    <col hidden="1" width="13" customWidth="1" style="38" min="16" max="16"/>
    <col hidden="1" width="13" customWidth="1" style="38" min="17" max="17"/>
    <col width="16" customWidth="1" style="37" min="18" max="19"/>
    <col width="16" customWidth="1" style="37" min="20" max="16384"/>
  </cols>
  <sheetData>
    <row r="1" ht="32" customHeight="1" s="38">
      <c r="A1" s="68" t="inlineStr">
        <is>
          <t>🌱 CALCULATEUR DE PLANTS PAR PLANCHE MARAÎCHÈRE</t>
        </is>
      </c>
    </row>
    <row r="2" ht="28" customHeight="1" s="38">
      <c r="A2" s="69" t="inlineStr">
        <is>
          <t>Longueur planche</t>
        </is>
      </c>
      <c r="B2" s="69" t="inlineStr">
        <is>
          <t>Largeur planche</t>
        </is>
      </c>
      <c r="C2" s="69" t="inlineStr">
        <is>
          <t>Surface planche</t>
        </is>
      </c>
      <c r="D2" s="69" t="inlineStr">
        <is>
          <t>Source de densité</t>
        </is>
      </c>
    </row>
    <row r="3" ht="30" customHeight="1" s="38">
      <c r="A3" s="98" t="n">
        <v>30</v>
      </c>
      <c r="B3" s="98" t="n">
        <v>1</v>
      </c>
      <c r="C3" s="99">
        <f>IFERROR(A3*B3, IFERROR(VALUE(SUBSTITUTE(A3,",","."))*VALUE(SUBSTITUTE(B3,",",".")), "—"))</f>
        <v/>
      </c>
      <c r="D3" s="72" t="inlineStr">
        <is>
          <t>Bio-intensif</t>
        </is>
      </c>
    </row>
    <row r="4" ht="22" customHeight="1" s="38">
      <c r="A4" s="73" t="inlineStr">
        <is>
          <t>👉 Saisis tes dimensions dans les cases jaunes (A3, B3) et choisis la source en D3 (menu déroulant). Les colonnes H et I se mettent à jour automatiquement.</t>
        </is>
      </c>
    </row>
    <row r="5" ht="45" customHeight="1" s="38"/>
    <row r="6" ht="45" customHeight="1" s="38"/>
    <row r="7" ht="38" customHeight="1" s="38">
      <c r="A7" s="74" t="inlineStr">
        <is>
          <t>Familles</t>
        </is>
      </c>
      <c r="B7" s="74" t="inlineStr">
        <is>
          <t>Espèce</t>
        </is>
      </c>
      <c r="C7" s="74" t="inlineStr">
        <is>
          <t>Type de semis</t>
        </is>
      </c>
      <c r="D7" s="74" t="inlineStr">
        <is>
          <t>Densité de plantation (Agrosemens)</t>
        </is>
      </c>
      <c r="E7" s="74" t="inlineStr">
        <is>
          <t>Nombre de plants/m2 (Agrosemens)</t>
        </is>
      </c>
      <c r="F7" s="74" t="inlineStr">
        <is>
          <t>Densité de plantation ( bio intensif)</t>
        </is>
      </c>
      <c r="G7" s="74" t="inlineStr">
        <is>
          <t>Nombre de plants/m2 (Bio intensif))</t>
        </is>
      </c>
      <c r="H7" s="74" t="inlineStr">
        <is>
          <t>Rangs/planche (planche 100 cm)</t>
        </is>
      </c>
      <c r="I7" s="74" t="inlineStr">
        <is>
          <t>Plants nécessaires (mini)</t>
        </is>
      </c>
      <c r="J7" s="74" t="inlineStr">
        <is>
          <t>Plants nécessaires (maxi)</t>
        </is>
      </c>
      <c r="K7" s="74" t="inlineStr">
        <is>
          <t>Densité retenue</t>
        </is>
      </c>
      <c r="L7" t="inlineStr">
        <is>
          <t>agro_min</t>
        </is>
      </c>
      <c r="M7" t="inlineStr">
        <is>
          <t>agro_max</t>
        </is>
      </c>
      <c r="N7" t="inlineStr">
        <is>
          <t>bio_min</t>
        </is>
      </c>
      <c r="O7" t="inlineStr">
        <is>
          <t>bio_max</t>
        </is>
      </c>
      <c r="P7" s="27" t="inlineStr">
        <is>
          <t>rangs_agro</t>
        </is>
      </c>
      <c r="Q7" s="27" t="inlineStr">
        <is>
          <t>rangs_bio</t>
        </is>
      </c>
    </row>
    <row r="8" ht="30" customHeight="1" s="38">
      <c r="A8" s="69" t="inlineStr">
        <is>
          <t>Curcubitacées</t>
        </is>
      </c>
      <c r="B8" s="64" t="inlineStr">
        <is>
          <t>Courge</t>
        </is>
      </c>
      <c r="C8" s="65" t="inlineStr">
        <is>
          <t>Motte (godet)</t>
        </is>
      </c>
      <c r="D8" s="66" t="inlineStr">
        <is>
          <t>90 (entre rang)×120 (sur le rang) cm</t>
        </is>
      </c>
      <c r="E8" s="65" t="inlineStr">
        <is>
          <t>1 plant/m²</t>
        </is>
      </c>
      <c r="F8" s="66" t="inlineStr">
        <is>
          <t>75 × 75 cm</t>
        </is>
      </c>
      <c r="G8" s="65" t="inlineStr">
        <is>
          <t>1 plant/m²</t>
        </is>
      </c>
      <c r="H8" s="75">
        <f>IF($D$3="Agrosemens",P8,Q8)</f>
        <v/>
      </c>
      <c r="I8" s="76">
        <f>IFERROR(ROUND($C$3*IF($D$3="Agrosemens",L8,N8),0),"—")</f>
        <v/>
      </c>
      <c r="J8" s="76">
        <f>IFERROR(ROUND($C$3*IF($D$3="Agrosemens",M8,O8),0),"—")</f>
        <v/>
      </c>
      <c r="K8" s="65">
        <f>IFERROR(IF($D$3="Agrosemens",IF(L8=M8,L8&amp;" pl/m²",L8&amp;"–"&amp;M8&amp;" pl/m²"),IF(N8=O8,N8&amp;" pl/m²",N8&amp;"–"&amp;O8&amp;" pl/m²")),"—")</f>
        <v/>
      </c>
      <c r="L8" t="n">
        <v>1</v>
      </c>
      <c r="M8" t="n">
        <v>1</v>
      </c>
      <c r="N8" t="n">
        <v>1</v>
      </c>
      <c r="O8" t="n">
        <v>1</v>
      </c>
      <c r="P8" s="33" t="inlineStr">
        <is>
          <t>1 rang</t>
        </is>
      </c>
      <c r="Q8" s="33" t="inlineStr">
        <is>
          <t>1 rang</t>
        </is>
      </c>
    </row>
    <row r="9" ht="30" customHeight="1" s="38">
      <c r="A9" s="96" t="n"/>
      <c r="B9" s="64" t="inlineStr">
        <is>
          <t>Potiron</t>
        </is>
      </c>
      <c r="C9" s="65" t="inlineStr">
        <is>
          <t>Motte</t>
        </is>
      </c>
      <c r="D9" s="66" t="inlineStr">
        <is>
          <t>90×120 cm</t>
        </is>
      </c>
      <c r="E9" s="65" t="inlineStr">
        <is>
          <t>1 plant/m²</t>
        </is>
      </c>
      <c r="F9" s="66" t="inlineStr">
        <is>
          <t>75 × 75 cm</t>
        </is>
      </c>
      <c r="G9" s="65" t="inlineStr">
        <is>
          <t>1 plant/m²</t>
        </is>
      </c>
      <c r="H9" s="75">
        <f>IF($D$3="Agrosemens",P9,Q9)</f>
        <v/>
      </c>
      <c r="I9" s="76">
        <f>IFERROR(ROUND($C$3*IF($D$3="Agrosemens",L9,N9),0),"—")</f>
        <v/>
      </c>
      <c r="J9" s="76">
        <f>IFERROR(ROUND($C$3*IF($D$3="Agrosemens",M9,O9),0),"—")</f>
        <v/>
      </c>
      <c r="K9" s="65">
        <f>IFERROR(IF($D$3="Agrosemens",IF(L9=M9,L9&amp;" pl/m²",L9&amp;"–"&amp;M9&amp;" pl/m²"),IF(N9=O9,N9&amp;" pl/m²",N9&amp;"–"&amp;O9&amp;" pl/m²")),"—")</f>
        <v/>
      </c>
      <c r="L9" t="n">
        <v>1</v>
      </c>
      <c r="M9" t="n">
        <v>1</v>
      </c>
      <c r="N9" t="n">
        <v>1</v>
      </c>
      <c r="O9" t="n">
        <v>1</v>
      </c>
      <c r="P9" s="33" t="inlineStr">
        <is>
          <t>1 rang</t>
        </is>
      </c>
      <c r="Q9" s="33" t="inlineStr">
        <is>
          <t>1 rang</t>
        </is>
      </c>
    </row>
    <row r="10" ht="30" customHeight="1" s="38">
      <c r="A10" s="96" t="n"/>
      <c r="B10" s="64" t="inlineStr">
        <is>
          <t>Potimarron</t>
        </is>
      </c>
      <c r="C10" s="65" t="inlineStr">
        <is>
          <t>Motte</t>
        </is>
      </c>
      <c r="D10" s="66" t="inlineStr">
        <is>
          <t>90×120 cm</t>
        </is>
      </c>
      <c r="E10" s="65" t="inlineStr">
        <is>
          <t>1 plant/m²</t>
        </is>
      </c>
      <c r="F10" s="66" t="inlineStr">
        <is>
          <t>75 × 75 cm</t>
        </is>
      </c>
      <c r="G10" s="65" t="inlineStr">
        <is>
          <t>1 plant/m²</t>
        </is>
      </c>
      <c r="H10" s="75">
        <f>IF($D$3="Agrosemens",P10,Q10)</f>
        <v/>
      </c>
      <c r="I10" s="76">
        <f>IFERROR(ROUND($C$3*IF($D$3="Agrosemens",L10,N10),0),"—")</f>
        <v/>
      </c>
      <c r="J10" s="76">
        <f>IFERROR(ROUND($C$3*IF($D$3="Agrosemens",M10,O10),0),"—")</f>
        <v/>
      </c>
      <c r="K10" s="65">
        <f>IFERROR(IF($D$3="Agrosemens",IF(L10=M10,L10&amp;" pl/m²",L10&amp;"–"&amp;M10&amp;" pl/m²"),IF(N10=O10,N10&amp;" pl/m²",N10&amp;"–"&amp;O10&amp;" pl/m²")),"—")</f>
        <v/>
      </c>
      <c r="L10" t="n">
        <v>1</v>
      </c>
      <c r="M10" t="n">
        <v>1</v>
      </c>
      <c r="N10" t="n">
        <v>1</v>
      </c>
      <c r="O10" t="n">
        <v>1</v>
      </c>
      <c r="P10" s="33" t="inlineStr">
        <is>
          <t>1 rang</t>
        </is>
      </c>
      <c r="Q10" s="33" t="inlineStr">
        <is>
          <t>1 rang</t>
        </is>
      </c>
    </row>
    <row r="11" ht="30" customHeight="1" s="38">
      <c r="A11" s="96" t="n"/>
      <c r="B11" s="64" t="inlineStr">
        <is>
          <t>Courgette</t>
        </is>
      </c>
      <c r="C11" s="65" t="inlineStr">
        <is>
          <t>Motte</t>
        </is>
      </c>
      <c r="D11" s="66" t="inlineStr">
        <is>
          <t>60×130 cm</t>
        </is>
      </c>
      <c r="E11" s="65" t="inlineStr">
        <is>
          <t>1 plant/m²</t>
        </is>
      </c>
      <c r="F11" s="66" t="inlineStr">
        <is>
          <t>50 × 50 cm</t>
        </is>
      </c>
      <c r="G11" s="65" t="inlineStr">
        <is>
          <t>4 plants/m²</t>
        </is>
      </c>
      <c r="H11" s="75">
        <f>IF($D$3="Agrosemens",P11,Q11)</f>
        <v/>
      </c>
      <c r="I11" s="76">
        <f>IFERROR(ROUND($C$3*IF($D$3="Agrosemens",L11,N11),0),"—")</f>
        <v/>
      </c>
      <c r="J11" s="76">
        <f>IFERROR(ROUND($C$3*IF($D$3="Agrosemens",M11,O11),0),"—")</f>
        <v/>
      </c>
      <c r="K11" s="65">
        <f>IFERROR(IF($D$3="Agrosemens",IF(L11=M11,L11&amp;" pl/m²",L11&amp;"–"&amp;M11&amp;" pl/m²"),IF(N11=O11,N11&amp;" pl/m²",N11&amp;"–"&amp;O11&amp;" pl/m²")),"—")</f>
        <v/>
      </c>
      <c r="L11" t="n">
        <v>1</v>
      </c>
      <c r="M11" t="n">
        <v>1</v>
      </c>
      <c r="N11" t="n">
        <v>4</v>
      </c>
      <c r="O11" t="n">
        <v>4</v>
      </c>
      <c r="P11" s="33" t="inlineStr">
        <is>
          <t>1 rang</t>
        </is>
      </c>
      <c r="Q11" s="33" t="inlineStr">
        <is>
          <t>2 rangs</t>
        </is>
      </c>
    </row>
    <row r="12" ht="30" customHeight="1" s="38">
      <c r="A12" s="96" t="n"/>
      <c r="B12" s="64" t="inlineStr">
        <is>
          <t>Concombre</t>
        </is>
      </c>
      <c r="C12" s="65" t="inlineStr">
        <is>
          <t>Motte</t>
        </is>
      </c>
      <c r="D12" s="66" t="inlineStr">
        <is>
          <t>60×125 cm ou 70×150 cm</t>
        </is>
      </c>
      <c r="E12" s="65" t="inlineStr">
        <is>
          <t>1 à 2 plants/m²</t>
        </is>
      </c>
      <c r="F12" s="66" t="inlineStr">
        <is>
          <t>30 × 45 cm</t>
        </is>
      </c>
      <c r="G12" s="65" t="inlineStr">
        <is>
          <t>7 plants/m²</t>
        </is>
      </c>
      <c r="H12" s="75">
        <f>IF($D$3="Agrosemens",P12,Q12)</f>
        <v/>
      </c>
      <c r="I12" s="76">
        <f>IFERROR(ROUND($C$3*IF($D$3="Agrosemens",L12,N12),0),"—")</f>
        <v/>
      </c>
      <c r="J12" s="76">
        <f>IFERROR(ROUND($C$3*IF($D$3="Agrosemens",M12,O12),0),"—")</f>
        <v/>
      </c>
      <c r="K12" s="65">
        <f>IFERROR(IF($D$3="Agrosemens",IF(L12=M12,L12&amp;" pl/m²",L12&amp;"–"&amp;M12&amp;" pl/m²"),IF(N12=O12,N12&amp;" pl/m²",N12&amp;"–"&amp;O12&amp;" pl/m²")),"—")</f>
        <v/>
      </c>
      <c r="L12" t="n">
        <v>1</v>
      </c>
      <c r="M12" t="n">
        <v>2</v>
      </c>
      <c r="N12" t="n">
        <v>7</v>
      </c>
      <c r="O12" t="n">
        <v>7</v>
      </c>
      <c r="P12" s="33" t="inlineStr">
        <is>
          <t>1 rang</t>
        </is>
      </c>
      <c r="Q12" s="33" t="inlineStr">
        <is>
          <t>3 rangs</t>
        </is>
      </c>
    </row>
    <row r="13" ht="30" customHeight="1" s="38">
      <c r="A13" s="96" t="n"/>
      <c r="B13" s="64" t="inlineStr">
        <is>
          <t>Melon</t>
        </is>
      </c>
      <c r="C13" s="65" t="inlineStr">
        <is>
          <t>Motte</t>
        </is>
      </c>
      <c r="D13" s="66" t="inlineStr">
        <is>
          <t>60×180 cm plein champ; 50×160 cm sous abri</t>
        </is>
      </c>
      <c r="E13" s="65" t="inlineStr">
        <is>
          <t>1 plant/m²</t>
        </is>
      </c>
      <c r="F13" s="66" t="inlineStr">
        <is>
          <t>50 × 50 cm</t>
        </is>
      </c>
      <c r="G13" s="65" t="inlineStr">
        <is>
          <t>4 plants/m²</t>
        </is>
      </c>
      <c r="H13" s="75">
        <f>IF($D$3="Agrosemens",P13,Q13)</f>
        <v/>
      </c>
      <c r="I13" s="76">
        <f>IFERROR(ROUND($C$3*IF($D$3="Agrosemens",L13,N13),0),"—")</f>
        <v/>
      </c>
      <c r="J13" s="76">
        <f>IFERROR(ROUND($C$3*IF($D$3="Agrosemens",M13,O13),0),"—")</f>
        <v/>
      </c>
      <c r="K13" s="65">
        <f>IFERROR(IF($D$3="Agrosemens",IF(L13=M13,L13&amp;" pl/m²",L13&amp;"–"&amp;M13&amp;" pl/m²"),IF(N13=O13,N13&amp;" pl/m²",N13&amp;"–"&amp;O13&amp;" pl/m²")),"—")</f>
        <v/>
      </c>
      <c r="L13" t="n">
        <v>1</v>
      </c>
      <c r="M13" t="n">
        <v>1</v>
      </c>
      <c r="N13" t="n">
        <v>4</v>
      </c>
      <c r="O13" t="n">
        <v>4</v>
      </c>
      <c r="P13" s="33" t="inlineStr">
        <is>
          <t>1 rang</t>
        </is>
      </c>
      <c r="Q13" s="33" t="inlineStr">
        <is>
          <t>2 rangs</t>
        </is>
      </c>
    </row>
    <row r="14" ht="30" customHeight="1" s="38">
      <c r="A14" s="97" t="n"/>
      <c r="B14" s="64" t="inlineStr">
        <is>
          <t>Pastèque</t>
        </is>
      </c>
      <c r="C14" s="65" t="inlineStr">
        <is>
          <t>Motte</t>
        </is>
      </c>
      <c r="D14" s="66" t="inlineStr">
        <is>
          <t>70×180 cm</t>
        </is>
      </c>
      <c r="E14" s="65" t="inlineStr">
        <is>
          <t>1 plant/m²</t>
        </is>
      </c>
      <c r="F14" s="66" t="inlineStr">
        <is>
          <t>50 × 50 cm</t>
        </is>
      </c>
      <c r="G14" s="65" t="inlineStr">
        <is>
          <t>4 plants/m²</t>
        </is>
      </c>
      <c r="H14" s="75">
        <f>IF($D$3="Agrosemens",P14,Q14)</f>
        <v/>
      </c>
      <c r="I14" s="76">
        <f>IFERROR(ROUND($C$3*IF($D$3="Agrosemens",L14,N14),0),"—")</f>
        <v/>
      </c>
      <c r="J14" s="76">
        <f>IFERROR(ROUND($C$3*IF($D$3="Agrosemens",M14,O14),0),"—")</f>
        <v/>
      </c>
      <c r="K14" s="65">
        <f>IFERROR(IF($D$3="Agrosemens",IF(L14=M14,L14&amp;" pl/m²",L14&amp;"–"&amp;M14&amp;" pl/m²"),IF(N14=O14,N14&amp;" pl/m²",N14&amp;"–"&amp;O14&amp;" pl/m²")),"—")</f>
        <v/>
      </c>
      <c r="L14" t="n">
        <v>1</v>
      </c>
      <c r="M14" t="n">
        <v>1</v>
      </c>
      <c r="N14" t="n">
        <v>4</v>
      </c>
      <c r="O14" t="n">
        <v>4</v>
      </c>
      <c r="P14" s="33" t="inlineStr">
        <is>
          <t>1 rang</t>
        </is>
      </c>
      <c r="Q14" s="33" t="inlineStr">
        <is>
          <t>2 rangs</t>
        </is>
      </c>
    </row>
    <row r="15" ht="8" customHeight="1" s="38"/>
    <row r="16" ht="30" customHeight="1" s="38">
      <c r="A16" s="69" t="inlineStr">
        <is>
          <t>Solanacées</t>
        </is>
      </c>
      <c r="B16" s="64" t="inlineStr">
        <is>
          <t>Tomate</t>
        </is>
      </c>
      <c r="C16" s="65" t="inlineStr">
        <is>
          <t>Motte</t>
        </is>
      </c>
      <c r="D16" s="66" t="inlineStr">
        <is>
          <t>45×100 cm plein champ; 45×90 cm sous abri</t>
        </is>
      </c>
      <c r="E16" s="65" t="inlineStr">
        <is>
          <t>2 à 3 plants/m²</t>
        </is>
      </c>
      <c r="F16" s="66" t="inlineStr">
        <is>
          <t>50 × 50 cm</t>
        </is>
      </c>
      <c r="G16" s="65" t="inlineStr">
        <is>
          <t>4 plants/m²</t>
        </is>
      </c>
      <c r="H16" s="75">
        <f>IF($D$3="Agrosemens",P16,Q16)</f>
        <v/>
      </c>
      <c r="I16" s="76">
        <f>IFERROR(ROUND($C$3*IF($D$3="Agrosemens",L16,N16),0),"—")</f>
        <v/>
      </c>
      <c r="J16" s="76">
        <f>IFERROR(ROUND($C$3*IF($D$3="Agrosemens",M16,O16),0),"—")</f>
        <v/>
      </c>
      <c r="K16" s="65">
        <f>IFERROR(IF($D$3="Agrosemens",IF(L16=M16,L16&amp;" pl/m²",L16&amp;"–"&amp;M16&amp;" pl/m²"),IF(N16=O16,N16&amp;" pl/m²",N16&amp;"–"&amp;O16&amp;" pl/m²")),"—")</f>
        <v/>
      </c>
      <c r="L16" t="n">
        <v>2</v>
      </c>
      <c r="M16" t="n">
        <v>3</v>
      </c>
      <c r="N16" t="n">
        <v>4</v>
      </c>
      <c r="O16" t="n">
        <v>4</v>
      </c>
      <c r="P16" s="33" t="inlineStr">
        <is>
          <t>2 rangs</t>
        </is>
      </c>
      <c r="Q16" s="33" t="inlineStr">
        <is>
          <t>2 rangs</t>
        </is>
      </c>
    </row>
    <row r="17" ht="30" customHeight="1" s="38">
      <c r="A17" s="96" t="n"/>
      <c r="B17" s="64" t="inlineStr">
        <is>
          <t>Aubergine</t>
        </is>
      </c>
      <c r="C17" s="65" t="inlineStr">
        <is>
          <t>Motte</t>
        </is>
      </c>
      <c r="D17" s="66" t="inlineStr">
        <is>
          <t>50×75 cm plein champ; 40-50×110 cm sous abri</t>
        </is>
      </c>
      <c r="E17" s="65" t="inlineStr">
        <is>
          <t>1 à 3 plants/m²</t>
        </is>
      </c>
      <c r="F17" s="66" t="inlineStr">
        <is>
          <t>35 × 50 cm</t>
        </is>
      </c>
      <c r="G17" s="65" t="inlineStr">
        <is>
          <t>5 plants/m²</t>
        </is>
      </c>
      <c r="H17" s="75">
        <f>IF($D$3="Agrosemens",P17,Q17)</f>
        <v/>
      </c>
      <c r="I17" s="76">
        <f>IFERROR(ROUND($C$3*IF($D$3="Agrosemens",L17,N17),0),"—")</f>
        <v/>
      </c>
      <c r="J17" s="76">
        <f>IFERROR(ROUND($C$3*IF($D$3="Agrosemens",M17,O17),0),"—")</f>
        <v/>
      </c>
      <c r="K17" s="65">
        <f>IFERROR(IF($D$3="Agrosemens",IF(L17=M17,L17&amp;" pl/m²",L17&amp;"–"&amp;M17&amp;" pl/m²"),IF(N17=O17,N17&amp;" pl/m²",N17&amp;"–"&amp;O17&amp;" pl/m²")),"—")</f>
        <v/>
      </c>
      <c r="L17" t="n">
        <v>1</v>
      </c>
      <c r="M17" t="n">
        <v>3</v>
      </c>
      <c r="N17" t="n">
        <v>5</v>
      </c>
      <c r="O17" t="n">
        <v>5</v>
      </c>
      <c r="P17" s="33" t="inlineStr">
        <is>
          <t>1 à 2 rangs</t>
        </is>
      </c>
      <c r="Q17" s="33" t="inlineStr">
        <is>
          <t>2 rangs</t>
        </is>
      </c>
    </row>
    <row r="18" ht="30" customHeight="1" s="38">
      <c r="A18" s="96" t="n"/>
      <c r="B18" s="64" t="inlineStr">
        <is>
          <t>Poivron</t>
        </is>
      </c>
      <c r="C18" s="65" t="inlineStr">
        <is>
          <t>Motte</t>
        </is>
      </c>
      <c r="D18" s="66" t="inlineStr">
        <is>
          <t>45×75 cm</t>
        </is>
      </c>
      <c r="E18" s="65" t="inlineStr">
        <is>
          <t>3 plants/m²</t>
        </is>
      </c>
      <c r="F18" s="66" t="inlineStr">
        <is>
          <t>35 × 50 cm</t>
        </is>
      </c>
      <c r="G18" s="65" t="inlineStr">
        <is>
          <t>5 plants/m²</t>
        </is>
      </c>
      <c r="H18" s="75">
        <f>IF($D$3="Agrosemens",P18,Q18)</f>
        <v/>
      </c>
      <c r="I18" s="76">
        <f>IFERROR(ROUND($C$3*IF($D$3="Agrosemens",L18,N18),0),"—")</f>
        <v/>
      </c>
      <c r="J18" s="76">
        <f>IFERROR(ROUND($C$3*IF($D$3="Agrosemens",M18,O18),0),"—")</f>
        <v/>
      </c>
      <c r="K18" s="65">
        <f>IFERROR(IF($D$3="Agrosemens",IF(L18=M18,L18&amp;" pl/m²",L18&amp;"–"&amp;M18&amp;" pl/m²"),IF(N18=O18,N18&amp;" pl/m²",N18&amp;"–"&amp;O18&amp;" pl/m²")),"—")</f>
        <v/>
      </c>
      <c r="L18" t="n">
        <v>3</v>
      </c>
      <c r="M18" t="n">
        <v>3</v>
      </c>
      <c r="N18" t="n">
        <v>5</v>
      </c>
      <c r="O18" t="n">
        <v>5</v>
      </c>
      <c r="P18" s="33" t="inlineStr">
        <is>
          <t>2 rangs</t>
        </is>
      </c>
      <c r="Q18" s="33" t="inlineStr">
        <is>
          <t>2 rangs</t>
        </is>
      </c>
    </row>
    <row r="19" ht="30" customHeight="1" s="38">
      <c r="A19" s="97" t="n"/>
      <c r="B19" s="64" t="inlineStr">
        <is>
          <t>Piment</t>
        </is>
      </c>
      <c r="C19" s="65" t="inlineStr">
        <is>
          <t>Motte</t>
        </is>
      </c>
      <c r="D19" s="66" t="inlineStr">
        <is>
          <t>50×75 cm</t>
        </is>
      </c>
      <c r="E19" s="65" t="inlineStr">
        <is>
          <t>3 plants/m²</t>
        </is>
      </c>
      <c r="F19" s="66" t="inlineStr">
        <is>
          <t>35 × 50 cm</t>
        </is>
      </c>
      <c r="G19" s="65" t="inlineStr">
        <is>
          <t>5 plants/m²</t>
        </is>
      </c>
      <c r="H19" s="75">
        <f>IF($D$3="Agrosemens",P19,Q19)</f>
        <v/>
      </c>
      <c r="I19" s="76">
        <f>IFERROR(ROUND($C$3*IF($D$3="Agrosemens",L19,N19),0),"—")</f>
        <v/>
      </c>
      <c r="J19" s="76">
        <f>IFERROR(ROUND($C$3*IF($D$3="Agrosemens",M19,O19),0),"—")</f>
        <v/>
      </c>
      <c r="K19" s="65">
        <f>IFERROR(IF($D$3="Agrosemens",IF(L19=M19,L19&amp;" pl/m²",L19&amp;"–"&amp;M19&amp;" pl/m²"),IF(N19=O19,N19&amp;" pl/m²",N19&amp;"–"&amp;O19&amp;" pl/m²")),"—")</f>
        <v/>
      </c>
      <c r="L19" t="n">
        <v>3</v>
      </c>
      <c r="M19" t="n">
        <v>3</v>
      </c>
      <c r="N19" t="n">
        <v>5</v>
      </c>
      <c r="O19" t="n">
        <v>5</v>
      </c>
      <c r="P19" s="33" t="inlineStr">
        <is>
          <t>2 rangs</t>
        </is>
      </c>
      <c r="Q19" s="33" t="inlineStr">
        <is>
          <t>2 rangs</t>
        </is>
      </c>
    </row>
    <row r="20" ht="8" customHeight="1" s="38"/>
    <row r="21" ht="30" customHeight="1" s="38">
      <c r="A21" s="69" t="inlineStr">
        <is>
          <t>Alliacées</t>
        </is>
      </c>
      <c r="B21" s="64" t="inlineStr">
        <is>
          <t>Poireau</t>
        </is>
      </c>
      <c r="C21" s="65" t="inlineStr">
        <is>
          <t>Ligne ou pépinière</t>
        </is>
      </c>
      <c r="D21" s="66" t="inlineStr">
        <is>
          <t>10×45 cm</t>
        </is>
      </c>
      <c r="E21" s="65" t="inlineStr">
        <is>
          <t>200 000 plants/ha (soit 20 plants/m²)</t>
        </is>
      </c>
      <c r="F21" s="66" t="inlineStr">
        <is>
          <t>10 × 25 cm</t>
        </is>
      </c>
      <c r="G21" s="65" t="inlineStr">
        <is>
          <t>40 plants/m²</t>
        </is>
      </c>
      <c r="H21" s="75">
        <f>IF($D$3="Agrosemens",P21,Q21)</f>
        <v/>
      </c>
      <c r="I21" s="76">
        <f>IFERROR(ROUND($C$3*IF($D$3="Agrosemens",L21,N21),0),"—")</f>
        <v/>
      </c>
      <c r="J21" s="76">
        <f>IFERROR(ROUND($C$3*IF($D$3="Agrosemens",M21,O21),0),"—")</f>
        <v/>
      </c>
      <c r="K21" s="65">
        <f>IFERROR(IF($D$3="Agrosemens",IF(L21=M21,L21&amp;" pl/m²",L21&amp;"–"&amp;M21&amp;" pl/m²"),IF(N21=O21,N21&amp;" pl/m²",N21&amp;"–"&amp;O21&amp;" pl/m²")),"—")</f>
        <v/>
      </c>
      <c r="L21" t="n">
        <v>20</v>
      </c>
      <c r="M21" t="n">
        <v>20</v>
      </c>
      <c r="N21" t="n">
        <v>40</v>
      </c>
      <c r="O21" t="n">
        <v>40</v>
      </c>
      <c r="P21" s="33" t="inlineStr">
        <is>
          <t>3 rangs</t>
        </is>
      </c>
      <c r="Q21" s="33" t="inlineStr">
        <is>
          <t>4 rangs</t>
        </is>
      </c>
    </row>
    <row r="22" ht="30" customHeight="1" s="38">
      <c r="A22" s="96" t="n"/>
      <c r="B22" s="64" t="inlineStr">
        <is>
          <t>Oignon</t>
        </is>
      </c>
      <c r="C22" s="65" t="inlineStr">
        <is>
          <t>Ligne</t>
        </is>
      </c>
      <c r="D22" s="66" t="inlineStr">
        <is>
          <t>15×30 cm</t>
        </is>
      </c>
      <c r="E22" s="65" t="inlineStr">
        <is>
          <t>22 plants/m²</t>
        </is>
      </c>
      <c r="F22" s="66" t="inlineStr">
        <is>
          <t>10 × 20 cm</t>
        </is>
      </c>
      <c r="G22" s="65" t="inlineStr">
        <is>
          <t>50 plants/m²</t>
        </is>
      </c>
      <c r="H22" s="75">
        <f>IF($D$3="Agrosemens",P22,Q22)</f>
        <v/>
      </c>
      <c r="I22" s="76">
        <f>IFERROR(ROUND($C$3*IF($D$3="Agrosemens",L22,N22),0),"—")</f>
        <v/>
      </c>
      <c r="J22" s="76">
        <f>IFERROR(ROUND($C$3*IF($D$3="Agrosemens",M22,O22),0),"—")</f>
        <v/>
      </c>
      <c r="K22" s="65">
        <f>IFERROR(IF($D$3="Agrosemens",IF(L22=M22,L22&amp;" pl/m²",L22&amp;"–"&amp;M22&amp;" pl/m²"),IF(N22=O22,N22&amp;" pl/m²",N22&amp;"–"&amp;O22&amp;" pl/m²")),"—")</f>
        <v/>
      </c>
      <c r="L22" t="n">
        <v>22</v>
      </c>
      <c r="M22" t="n">
        <v>22</v>
      </c>
      <c r="N22" t="n">
        <v>50</v>
      </c>
      <c r="O22" t="n">
        <v>50</v>
      </c>
      <c r="P22" s="33" t="inlineStr">
        <is>
          <t>3 rangs</t>
        </is>
      </c>
      <c r="Q22" s="33" t="inlineStr">
        <is>
          <t>5 rangs</t>
        </is>
      </c>
    </row>
    <row r="23" ht="30" customHeight="1" s="38">
      <c r="A23" s="96" t="n"/>
      <c r="B23" s="64" t="inlineStr">
        <is>
          <t>Ciboule</t>
        </is>
      </c>
      <c r="C23" s="65" t="inlineStr">
        <is>
          <t>Ligne</t>
        </is>
      </c>
      <c r="D23" s="66" t="inlineStr">
        <is>
          <t>30 plants/m linéaire, 50 cm entre rangs</t>
        </is>
      </c>
      <c r="E23" s="65" t="inlineStr">
        <is>
          <t>60 plants/m² (30 plants/m linéaire × 2 rangs/m)</t>
        </is>
      </c>
      <c r="F23" s="66" t="inlineStr">
        <is>
          <t>10 × 20 cm</t>
        </is>
      </c>
      <c r="G23" s="65" t="inlineStr">
        <is>
          <t>50 plants/m²</t>
        </is>
      </c>
      <c r="H23" s="75">
        <f>IF($D$3="Agrosemens",P23,Q23)</f>
        <v/>
      </c>
      <c r="I23" s="76">
        <f>IFERROR(ROUND($C$3*IF($D$3="Agrosemens",L23,N23),0),"—")</f>
        <v/>
      </c>
      <c r="J23" s="76">
        <f>IFERROR(ROUND($C$3*IF($D$3="Agrosemens",M23,O23),0),"—")</f>
        <v/>
      </c>
      <c r="K23" s="65">
        <f>IFERROR(IF($D$3="Agrosemens",IF(L23=M23,L23&amp;" pl/m²",L23&amp;"–"&amp;M23&amp;" pl/m²"),IF(N23=O23,N23&amp;" pl/m²",N23&amp;"–"&amp;O23&amp;" pl/m²")),"—")</f>
        <v/>
      </c>
      <c r="L23" t="n">
        <v>60</v>
      </c>
      <c r="M23" t="n">
        <v>60</v>
      </c>
      <c r="N23" t="n">
        <v>50</v>
      </c>
      <c r="O23" t="n">
        <v>50</v>
      </c>
      <c r="P23" s="33" t="inlineStr">
        <is>
          <t>3 rangs</t>
        </is>
      </c>
      <c r="Q23" s="33" t="inlineStr">
        <is>
          <t>5 rangs</t>
        </is>
      </c>
    </row>
    <row r="24" ht="30" customHeight="1" s="38">
      <c r="A24" s="97" t="n"/>
      <c r="B24" s="64" t="inlineStr">
        <is>
          <t>Échalote (semis)</t>
        </is>
      </c>
      <c r="C24" s="65" t="inlineStr">
        <is>
          <t>Ligne</t>
        </is>
      </c>
      <c r="D24" s="66" t="inlineStr">
        <is>
          <t>200 à 250 graines/m²</t>
        </is>
      </c>
      <c r="E24" s="65" t="inlineStr">
        <is>
          <t>200 à 250 plants/m² (avant éclaircissage)</t>
        </is>
      </c>
      <c r="F24" s="66" t="inlineStr">
        <is>
          <t>10 × 20 cm</t>
        </is>
      </c>
      <c r="G24" s="65" t="inlineStr">
        <is>
          <t>50 plants/m²</t>
        </is>
      </c>
      <c r="H24" s="75">
        <f>IF($D$3="Agrosemens",P24,Q24)</f>
        <v/>
      </c>
      <c r="I24" s="76">
        <f>IFERROR(ROUND($C$3*IF($D$3="Agrosemens",L24,N24),0),"—")</f>
        <v/>
      </c>
      <c r="J24" s="76">
        <f>IFERROR(ROUND($C$3*IF($D$3="Agrosemens",M24,O24),0),"—")</f>
        <v/>
      </c>
      <c r="K24" s="65">
        <f>IFERROR(IF($D$3="Agrosemens",IF(L24=M24,L24&amp;" pl/m²",L24&amp;"–"&amp;M24&amp;" pl/m²"),IF(N24=O24,N24&amp;" pl/m²",N24&amp;"–"&amp;O24&amp;" pl/m²")),"—")</f>
        <v/>
      </c>
      <c r="L24" t="n">
        <v>200</v>
      </c>
      <c r="M24" t="n">
        <v>250</v>
      </c>
      <c r="N24" t="n">
        <v>50</v>
      </c>
      <c r="O24" t="n">
        <v>50</v>
      </c>
      <c r="P24" s="33" t="inlineStr">
        <is>
          <t>3 rangs</t>
        </is>
      </c>
      <c r="Q24" s="33" t="inlineStr">
        <is>
          <t>5 rangs</t>
        </is>
      </c>
    </row>
    <row r="25" ht="8" customHeight="1" s="38"/>
    <row r="26" ht="30" customHeight="1" s="38">
      <c r="A26" s="69" t="inlineStr">
        <is>
          <t>Choux &amp; brassicacées</t>
        </is>
      </c>
      <c r="B26" s="64" t="inlineStr">
        <is>
          <t>Chou cabus</t>
        </is>
      </c>
      <c r="C26" s="65" t="inlineStr">
        <is>
          <t>Motte</t>
        </is>
      </c>
      <c r="D26" s="66" t="inlineStr">
        <is>
          <t xml:space="preserve">45 × 75 cm </t>
        </is>
      </c>
      <c r="E26" s="65" t="inlineStr">
        <is>
          <t>1 à 2 plants/m²</t>
        </is>
      </c>
      <c r="F26" s="66" t="inlineStr">
        <is>
          <t>45 × 45 cm</t>
        </is>
      </c>
      <c r="G26" s="65" t="inlineStr">
        <is>
          <t>4 plants/m²</t>
        </is>
      </c>
      <c r="H26" s="75">
        <f>IF($D$3="Agrosemens",P26,Q26)</f>
        <v/>
      </c>
      <c r="I26" s="76">
        <f>IFERROR(ROUND($C$3*IF($D$3="Agrosemens",L26,N26),0),"—")</f>
        <v/>
      </c>
      <c r="J26" s="76">
        <f>IFERROR(ROUND($C$3*IF($D$3="Agrosemens",M26,O26),0),"—")</f>
        <v/>
      </c>
      <c r="K26" s="65">
        <f>IFERROR(IF($D$3="Agrosemens",IF(L26=M26,L26&amp;" pl/m²",L26&amp;"–"&amp;M26&amp;" pl/m²"),IF(N26=O26,N26&amp;" pl/m²",N26&amp;"–"&amp;O26&amp;" pl/m²")),"—")</f>
        <v/>
      </c>
      <c r="L26" t="n">
        <v>1</v>
      </c>
      <c r="M26" t="n">
        <v>2</v>
      </c>
      <c r="N26" t="n">
        <v>4</v>
      </c>
      <c r="O26" t="n">
        <v>4</v>
      </c>
      <c r="P26" s="33" t="inlineStr">
        <is>
          <t>2 rangs</t>
        </is>
      </c>
      <c r="Q26" s="33" t="inlineStr">
        <is>
          <t>2 rangs</t>
        </is>
      </c>
    </row>
    <row r="27" ht="30" customHeight="1" s="38">
      <c r="A27" s="96" t="n"/>
      <c r="B27" s="64" t="inlineStr">
        <is>
          <t>Chou frisé</t>
        </is>
      </c>
      <c r="C27" s="65" t="inlineStr">
        <is>
          <t>Motte</t>
        </is>
      </c>
      <c r="D27" s="66" t="inlineStr">
        <is>
          <t>50×50 cm</t>
        </is>
      </c>
      <c r="E27" s="65" t="inlineStr">
        <is>
          <t>40 000 plants/ha (soit 4 plants/m²)</t>
        </is>
      </c>
      <c r="F27" s="66" t="inlineStr">
        <is>
          <t>20 × 20 cm</t>
        </is>
      </c>
      <c r="G27" s="65" t="inlineStr">
        <is>
          <t>25 plants/m²</t>
        </is>
      </c>
      <c r="H27" s="75">
        <f>IF($D$3="Agrosemens",P27,Q27)</f>
        <v/>
      </c>
      <c r="I27" s="76">
        <f>IFERROR(ROUND($C$3*IF($D$3="Agrosemens",L27,N27),0),"—")</f>
        <v/>
      </c>
      <c r="J27" s="76">
        <f>IFERROR(ROUND($C$3*IF($D$3="Agrosemens",M27,O27),0),"—")</f>
        <v/>
      </c>
      <c r="K27" s="65">
        <f>IFERROR(IF($D$3="Agrosemens",IF(L27=M27,L27&amp;" pl/m²",L27&amp;"–"&amp;M27&amp;" pl/m²"),IF(N27=O27,N27&amp;" pl/m²",N27&amp;"–"&amp;O27&amp;" pl/m²")),"—")</f>
        <v/>
      </c>
      <c r="L27" t="n">
        <v>4</v>
      </c>
      <c r="M27" t="n">
        <v>4</v>
      </c>
      <c r="N27" t="n">
        <v>25</v>
      </c>
      <c r="O27" t="n">
        <v>25</v>
      </c>
      <c r="P27" s="33" t="inlineStr">
        <is>
          <t>2 rangs</t>
        </is>
      </c>
      <c r="Q27" s="33" t="inlineStr">
        <is>
          <t>5 rangs</t>
        </is>
      </c>
    </row>
    <row r="28" ht="30" customHeight="1" s="38">
      <c r="A28" s="96" t="n"/>
      <c r="B28" s="64" t="inlineStr">
        <is>
          <t>Chou-fleur</t>
        </is>
      </c>
      <c r="C28" s="65" t="inlineStr">
        <is>
          <t>Motte</t>
        </is>
      </c>
      <c r="D28" s="66" t="inlineStr">
        <is>
          <t xml:space="preserve">45 × 75 cm </t>
        </is>
      </c>
      <c r="E28" s="65" t="inlineStr">
        <is>
          <t>1 à 2 plants/m²</t>
        </is>
      </c>
      <c r="F28" s="66" t="inlineStr">
        <is>
          <t>38 × 38 cm</t>
        </is>
      </c>
      <c r="G28" s="65" t="inlineStr">
        <is>
          <t>6 plants/m²</t>
        </is>
      </c>
      <c r="H28" s="75">
        <f>IF($D$3="Agrosemens",P28,Q28)</f>
        <v/>
      </c>
      <c r="I28" s="76">
        <f>IFERROR(ROUND($C$3*IF($D$3="Agrosemens",L28,N28),0),"—")</f>
        <v/>
      </c>
      <c r="J28" s="76">
        <f>IFERROR(ROUND($C$3*IF($D$3="Agrosemens",M28,O28),0),"—")</f>
        <v/>
      </c>
      <c r="K28" s="65">
        <f>IFERROR(IF($D$3="Agrosemens",IF(L28=M28,L28&amp;" pl/m²",L28&amp;"–"&amp;M28&amp;" pl/m²"),IF(N28=O28,N28&amp;" pl/m²",N28&amp;"–"&amp;O28&amp;" pl/m²")),"—")</f>
        <v/>
      </c>
      <c r="L28" t="n">
        <v>1</v>
      </c>
      <c r="M28" t="n">
        <v>2</v>
      </c>
      <c r="N28" t="n">
        <v>6</v>
      </c>
      <c r="O28" t="n">
        <v>6</v>
      </c>
      <c r="P28" s="33" t="inlineStr">
        <is>
          <t>1 rang</t>
        </is>
      </c>
      <c r="Q28" s="33" t="inlineStr">
        <is>
          <t>3 rangs</t>
        </is>
      </c>
    </row>
    <row r="29" ht="30" customHeight="1" s="38">
      <c r="A29" s="96" t="n"/>
      <c r="B29" s="64" t="inlineStr">
        <is>
          <t>Brocoli</t>
        </is>
      </c>
      <c r="C29" s="65" t="inlineStr">
        <is>
          <t>Motte</t>
        </is>
      </c>
      <c r="D29" s="66" t="inlineStr">
        <is>
          <t>70×50 cm</t>
        </is>
      </c>
      <c r="E29" s="65" t="inlineStr">
        <is>
          <t>3 plants/m²</t>
        </is>
      </c>
      <c r="F29" s="66" t="inlineStr">
        <is>
          <t>30 × 30 cm</t>
        </is>
      </c>
      <c r="G29" s="65" t="inlineStr">
        <is>
          <t>11 plants/m²</t>
        </is>
      </c>
      <c r="H29" s="75">
        <f>IF($D$3="Agrosemens",P29,Q29)</f>
        <v/>
      </c>
      <c r="I29" s="76">
        <f>IFERROR(ROUND($C$3*IF($D$3="Agrosemens",L29,N29),0),"—")</f>
        <v/>
      </c>
      <c r="J29" s="76">
        <f>IFERROR(ROUND($C$3*IF($D$3="Agrosemens",M29,O29),0),"—")</f>
        <v/>
      </c>
      <c r="K29" s="65">
        <f>IFERROR(IF($D$3="Agrosemens",IF(L29=M29,L29&amp;" pl/m²",L29&amp;"–"&amp;M29&amp;" pl/m²"),IF(N29=O29,N29&amp;" pl/m²",N29&amp;"–"&amp;O29&amp;" pl/m²")),"—")</f>
        <v/>
      </c>
      <c r="L29" t="n">
        <v>3</v>
      </c>
      <c r="M29" t="n">
        <v>3</v>
      </c>
      <c r="N29" t="n">
        <v>11</v>
      </c>
      <c r="O29" t="n">
        <v>11</v>
      </c>
      <c r="P29" s="33" t="inlineStr">
        <is>
          <t>2 rangs</t>
        </is>
      </c>
      <c r="Q29" s="33" t="inlineStr">
        <is>
          <t>3 rangs</t>
        </is>
      </c>
    </row>
    <row r="30" ht="30" customHeight="1" s="38">
      <c r="A30" s="96" t="n"/>
      <c r="B30" s="64" t="inlineStr">
        <is>
          <t>Chou de Bruxelles</t>
        </is>
      </c>
      <c r="C30" s="65" t="inlineStr">
        <is>
          <t>Motte</t>
        </is>
      </c>
      <c r="D30" s="66" t="inlineStr">
        <is>
          <t>4 plants/ml</t>
        </is>
      </c>
      <c r="E30" s="65" t="inlineStr">
        <is>
          <t>2 à 3 plants/m²</t>
        </is>
      </c>
      <c r="F30" s="66" t="inlineStr">
        <is>
          <t>45 × 45 cm</t>
        </is>
      </c>
      <c r="G30" s="65" t="inlineStr">
        <is>
          <t>4 plants/m²</t>
        </is>
      </c>
      <c r="H30" s="75">
        <f>IF($D$3="Agrosemens",P30,Q30)</f>
        <v/>
      </c>
      <c r="I30" s="76">
        <f>IFERROR(ROUND($C$3*IF($D$3="Agrosemens",L30,N30),0),"—")</f>
        <v/>
      </c>
      <c r="J30" s="76">
        <f>IFERROR(ROUND($C$3*IF($D$3="Agrosemens",M30,O30),0),"—")</f>
        <v/>
      </c>
      <c r="K30" s="65">
        <f>IFERROR(IF($D$3="Agrosemens",IF(L30=M30,L30&amp;" pl/m²",L30&amp;"–"&amp;M30&amp;" pl/m²"),IF(N30=O30,N30&amp;" pl/m²",N30&amp;"–"&amp;O30&amp;" pl/m²")),"—")</f>
        <v/>
      </c>
      <c r="L30" t="n">
        <v>2</v>
      </c>
      <c r="M30" t="n">
        <v>3</v>
      </c>
      <c r="N30" t="n">
        <v>4</v>
      </c>
      <c r="O30" t="n">
        <v>4</v>
      </c>
      <c r="P30" s="33" t="inlineStr">
        <is>
          <t>1 à 2 rangs</t>
        </is>
      </c>
      <c r="Q30" s="33" t="inlineStr">
        <is>
          <t>2 rangs</t>
        </is>
      </c>
    </row>
    <row r="31" ht="30" customHeight="1" s="38">
      <c r="A31" s="96" t="n"/>
      <c r="B31" s="64" t="inlineStr">
        <is>
          <t>Pak choï</t>
        </is>
      </c>
      <c r="C31" s="65" t="inlineStr">
        <is>
          <t>Motte</t>
        </is>
      </c>
      <c r="D31" s="66" t="inlineStr">
        <is>
          <t xml:space="preserve">30 × 30 cm </t>
        </is>
      </c>
      <c r="E31" s="65" t="inlineStr">
        <is>
          <t>11 à 12 plants/m²</t>
        </is>
      </c>
      <c r="F31" s="66" t="inlineStr">
        <is>
          <t>20 × 20 cm</t>
        </is>
      </c>
      <c r="G31" s="65" t="inlineStr">
        <is>
          <t>25 plants/m²</t>
        </is>
      </c>
      <c r="H31" s="75">
        <f>IF($D$3="Agrosemens",P31,Q31)</f>
        <v/>
      </c>
      <c r="I31" s="76">
        <f>IFERROR(ROUND($C$3*IF($D$3="Agrosemens",L31,N31),0),"—")</f>
        <v/>
      </c>
      <c r="J31" s="76">
        <f>IFERROR(ROUND($C$3*IF($D$3="Agrosemens",M31,O31),0),"—")</f>
        <v/>
      </c>
      <c r="K31" s="65">
        <f>IFERROR(IF($D$3="Agrosemens",IF(L31=M31,L31&amp;" pl/m²",L31&amp;"–"&amp;M31&amp;" pl/m²"),IF(N31=O31,N31&amp;" pl/m²",N31&amp;"–"&amp;O31&amp;" pl/m²")),"—")</f>
        <v/>
      </c>
      <c r="L31" t="n">
        <v>11</v>
      </c>
      <c r="M31" t="n">
        <v>12</v>
      </c>
      <c r="N31" t="n">
        <v>25</v>
      </c>
      <c r="O31" t="n">
        <v>25</v>
      </c>
      <c r="P31" s="33" t="inlineStr">
        <is>
          <t>3 rangs</t>
        </is>
      </c>
      <c r="Q31" s="33" t="inlineStr">
        <is>
          <t>5 rangs</t>
        </is>
      </c>
    </row>
    <row r="32" ht="30" customHeight="1" s="38">
      <c r="A32" s="96" t="n"/>
      <c r="B32" s="64" t="inlineStr">
        <is>
          <t>Bok choï</t>
        </is>
      </c>
      <c r="C32" s="65" t="inlineStr">
        <is>
          <t>Motte</t>
        </is>
      </c>
      <c r="D32" s="66" t="inlineStr">
        <is>
          <t>30 × 40 cm</t>
        </is>
      </c>
      <c r="E32" s="65" t="inlineStr">
        <is>
          <t>11 à 12 plants/m²</t>
        </is>
      </c>
      <c r="F32" s="66" t="inlineStr">
        <is>
          <t>20 × 20 cm</t>
        </is>
      </c>
      <c r="G32" s="65" t="inlineStr">
        <is>
          <t>25 plants/m²</t>
        </is>
      </c>
      <c r="H32" s="75">
        <f>IF($D$3="Agrosemens",P32,Q32)</f>
        <v/>
      </c>
      <c r="I32" s="76">
        <f>IFERROR(ROUND($C$3*IF($D$3="Agrosemens",L32,N32),0),"—")</f>
        <v/>
      </c>
      <c r="J32" s="76">
        <f>IFERROR(ROUND($C$3*IF($D$3="Agrosemens",M32,O32),0),"—")</f>
        <v/>
      </c>
      <c r="K32" s="65">
        <f>IFERROR(IF($D$3="Agrosemens",IF(L32=M32,L32&amp;" pl/m²",L32&amp;"–"&amp;M32&amp;" pl/m²"),IF(N32=O32,N32&amp;" pl/m²",N32&amp;"–"&amp;O32&amp;" pl/m²")),"—")</f>
        <v/>
      </c>
      <c r="L32" t="n">
        <v>11</v>
      </c>
      <c r="M32" t="n">
        <v>12</v>
      </c>
      <c r="N32" t="n">
        <v>25</v>
      </c>
      <c r="O32" t="n">
        <v>25</v>
      </c>
      <c r="P32" s="33" t="inlineStr">
        <is>
          <t>3 rangs</t>
        </is>
      </c>
      <c r="Q32" s="33" t="inlineStr">
        <is>
          <t>5 rangs</t>
        </is>
      </c>
    </row>
    <row r="33" ht="30" customHeight="1" s="38">
      <c r="A33" s="96" t="n"/>
      <c r="B33" s="64" t="inlineStr">
        <is>
          <t>Navet</t>
        </is>
      </c>
      <c r="C33" s="65" t="inlineStr">
        <is>
          <t>Ligne</t>
        </is>
      </c>
      <c r="D33" s="66" t="inlineStr">
        <is>
          <t>10×30 cm ou 5×10 cm</t>
        </is>
      </c>
      <c r="E33" s="65" t="inlineStr">
        <is>
          <t>33 plants/m² (10×30) ou 200 plants/m² (5×10)</t>
        </is>
      </c>
      <c r="F33" s="66" t="inlineStr">
        <is>
          <t>10 × 10 cm</t>
        </is>
      </c>
      <c r="G33" s="65" t="inlineStr">
        <is>
          <t>100 plants/m²</t>
        </is>
      </c>
      <c r="H33" s="75">
        <f>IF($D$3="Agrosemens",P33,Q33)</f>
        <v/>
      </c>
      <c r="I33" s="76">
        <f>IFERROR(ROUND($C$3*IF($D$3="Agrosemens",L33,N33),0),"—")</f>
        <v/>
      </c>
      <c r="J33" s="76">
        <f>IFERROR(ROUND($C$3*IF($D$3="Agrosemens",M33,O33),0),"—")</f>
        <v/>
      </c>
      <c r="K33" s="65">
        <f>IFERROR(IF($D$3="Agrosemens",IF(L33=M33,L33&amp;" pl/m²",L33&amp;"–"&amp;M33&amp;" pl/m²"),IF(N33=O33,N33&amp;" pl/m²",N33&amp;"–"&amp;O33&amp;" pl/m²")),"—")</f>
        <v/>
      </c>
      <c r="L33" t="n">
        <v>33</v>
      </c>
      <c r="M33" t="n">
        <v>200</v>
      </c>
      <c r="N33" t="n">
        <v>100</v>
      </c>
      <c r="O33" t="n">
        <v>100</v>
      </c>
      <c r="P33" s="33" t="inlineStr">
        <is>
          <t>4 rangs</t>
        </is>
      </c>
      <c r="Q33" s="33" t="inlineStr">
        <is>
          <t>9 rangs</t>
        </is>
      </c>
    </row>
    <row r="34" ht="30" customHeight="1" s="38">
      <c r="A34" s="97" t="n"/>
      <c r="B34" s="64" t="inlineStr">
        <is>
          <t>Radis</t>
        </is>
      </c>
      <c r="C34" s="65" t="inlineStr">
        <is>
          <t>Ligne</t>
        </is>
      </c>
      <c r="D34" s="66" t="inlineStr">
        <is>
          <t>10×30 cm</t>
        </is>
      </c>
      <c r="E34" s="65" t="inlineStr">
        <is>
          <t>667 plants/m²</t>
        </is>
      </c>
      <c r="F34" s="66" t="inlineStr">
        <is>
          <t>5 × 5 cm</t>
        </is>
      </c>
      <c r="G34" s="65" t="inlineStr">
        <is>
          <t>400 plants/m²</t>
        </is>
      </c>
      <c r="H34" s="75">
        <f>IF($D$3="Agrosemens",P34,Q34)</f>
        <v/>
      </c>
      <c r="I34" s="76">
        <f>IFERROR(ROUND($C$3*IF($D$3="Agrosemens",L34,N34),0),"—")</f>
        <v/>
      </c>
      <c r="J34" s="76">
        <f>IFERROR(ROUND($C$3*IF($D$3="Agrosemens",M34,O34),0),"—")</f>
        <v/>
      </c>
      <c r="K34" s="65">
        <f>IFERROR(IF($D$3="Agrosemens",IF(L34=M34,L34&amp;" pl/m²",L34&amp;"–"&amp;M34&amp;" pl/m²"),IF(N34=O34,N34&amp;" pl/m²",N34&amp;"–"&amp;O34&amp;" pl/m²")),"—")</f>
        <v/>
      </c>
      <c r="L34" t="n">
        <v>667</v>
      </c>
      <c r="M34" t="n">
        <v>667</v>
      </c>
      <c r="N34" t="n">
        <v>400</v>
      </c>
      <c r="O34" t="n">
        <v>400</v>
      </c>
      <c r="P34" s="33" t="inlineStr">
        <is>
          <t>5 rangs</t>
        </is>
      </c>
      <c r="Q34" s="33" t="inlineStr">
        <is>
          <t>9 rangs</t>
        </is>
      </c>
    </row>
    <row r="35" ht="8" customHeight="1" s="38"/>
    <row r="36" ht="30" customHeight="1" s="38">
      <c r="A36" s="69" t="inlineStr">
        <is>
          <t>Légumineuses</t>
        </is>
      </c>
      <c r="B36" s="64" t="inlineStr">
        <is>
          <t>Pois</t>
        </is>
      </c>
      <c r="C36" s="65" t="inlineStr">
        <is>
          <t>Semis direct</t>
        </is>
      </c>
      <c r="D36" s="66" t="inlineStr">
        <is>
          <t>20×70 cm ou 2 à 3 rangs rapprochés de 30-40 cm × 70 cm; 100 plants/m²</t>
        </is>
      </c>
      <c r="E36" s="65" t="inlineStr">
        <is>
          <t>100 plants/m² (semis dense, 1 graine tous les 2–5 cm sur le rang)</t>
        </is>
      </c>
      <c r="F36" s="66" t="inlineStr">
        <is>
          <t>5 × 45 cm</t>
        </is>
      </c>
      <c r="G36" s="65" t="inlineStr">
        <is>
          <t>44 plants/m²</t>
        </is>
      </c>
      <c r="H36" s="75">
        <f>IF($D$3="Agrosemens",P36,Q36)</f>
        <v/>
      </c>
      <c r="I36" s="76">
        <f>IFERROR(ROUND($C$3*IF($D$3="Agrosemens",L36,N36),0),"—")</f>
        <v/>
      </c>
      <c r="J36" s="76">
        <f>IFERROR(ROUND($C$3*IF($D$3="Agrosemens",M36,O36),0),"—")</f>
        <v/>
      </c>
      <c r="K36" s="65">
        <f>IFERROR(IF($D$3="Agrosemens",IF(L36=M36,L36&amp;" pl/m²",L36&amp;"–"&amp;M36&amp;" pl/m²"),IF(N36=O36,N36&amp;" pl/m²",N36&amp;"–"&amp;O36&amp;" pl/m²")),"—")</f>
        <v/>
      </c>
      <c r="L36" t="n">
        <v>100</v>
      </c>
      <c r="M36" t="n">
        <v>100</v>
      </c>
      <c r="N36" t="n">
        <v>44</v>
      </c>
      <c r="O36" t="n">
        <v>44</v>
      </c>
      <c r="P36" s="33" t="inlineStr">
        <is>
          <t>1 rang</t>
        </is>
      </c>
      <c r="Q36" s="33" t="inlineStr">
        <is>
          <t>2 rangs</t>
        </is>
      </c>
    </row>
    <row r="37" ht="30" customHeight="1" s="38">
      <c r="A37" s="96" t="n"/>
      <c r="B37" s="64" t="inlineStr">
        <is>
          <t>Pois mangetout</t>
        </is>
      </c>
      <c r="C37" s="65" t="inlineStr">
        <is>
          <t>Semis direct</t>
        </is>
      </c>
      <c r="D37" s="66" t="inlineStr">
        <is>
          <t>20×70 cm ou 2 à 3 rangs rapprochés de 30-40 cm × 70 cm</t>
        </is>
      </c>
      <c r="E37" s="65" t="inlineStr">
        <is>
          <t>100 plants/m² (semis dense, 1 graine tous les 2–5 cm sur le rang)</t>
        </is>
      </c>
      <c r="F37" s="66" t="inlineStr">
        <is>
          <t>5 × 45 cm</t>
        </is>
      </c>
      <c r="G37" s="65" t="inlineStr">
        <is>
          <t>44 plants/m²</t>
        </is>
      </c>
      <c r="H37" s="75">
        <f>IF($D$3="Agrosemens",P37,Q37)</f>
        <v/>
      </c>
      <c r="I37" s="76">
        <f>IFERROR(ROUND($C$3*IF($D$3="Agrosemens",L37,N37),0),"—")</f>
        <v/>
      </c>
      <c r="J37" s="76">
        <f>IFERROR(ROUND($C$3*IF($D$3="Agrosemens",M37,O37),0),"—")</f>
        <v/>
      </c>
      <c r="K37" s="65">
        <f>IFERROR(IF($D$3="Agrosemens",IF(L37=M37,L37&amp;" pl/m²",L37&amp;"–"&amp;M37&amp;" pl/m²"),IF(N37=O37,N37&amp;" pl/m²",N37&amp;"–"&amp;O37&amp;" pl/m²")),"—")</f>
        <v/>
      </c>
      <c r="L37" t="n">
        <v>100</v>
      </c>
      <c r="M37" t="n">
        <v>100</v>
      </c>
      <c r="N37" t="n">
        <v>44</v>
      </c>
      <c r="O37" t="n">
        <v>44</v>
      </c>
      <c r="P37" s="33" t="inlineStr">
        <is>
          <t>1 rang</t>
        </is>
      </c>
      <c r="Q37" s="33" t="inlineStr">
        <is>
          <t>2 rangs</t>
        </is>
      </c>
    </row>
    <row r="38" ht="30" customHeight="1" s="38">
      <c r="A38" s="96" t="n"/>
      <c r="B38" s="64" t="inlineStr">
        <is>
          <t>Fève</t>
        </is>
      </c>
      <c r="C38" s="65" t="inlineStr">
        <is>
          <t>Semis direct</t>
        </is>
      </c>
      <c r="D38" s="66" t="inlineStr">
        <is>
          <t>10×35 cm</t>
        </is>
      </c>
      <c r="E38" s="65" t="inlineStr">
        <is>
          <t>29 plants/m²</t>
        </is>
      </c>
      <c r="F38" s="66" t="inlineStr">
        <is>
          <t>10 × 45 cm</t>
        </is>
      </c>
      <c r="G38" s="65" t="inlineStr">
        <is>
          <t>22 plants/m²</t>
        </is>
      </c>
      <c r="H38" s="75">
        <f>IF($D$3="Agrosemens",P38,Q38)</f>
        <v/>
      </c>
      <c r="I38" s="76">
        <f>IFERROR(ROUND($C$3*IF($D$3="Agrosemens",L38,N38),0),"—")</f>
        <v/>
      </c>
      <c r="J38" s="76">
        <f>IFERROR(ROUND($C$3*IF($D$3="Agrosemens",M38,O38),0),"—")</f>
        <v/>
      </c>
      <c r="K38" s="65">
        <f>IFERROR(IF($D$3="Agrosemens",IF(L38=M38,L38&amp;" pl/m²",L38&amp;"–"&amp;M38&amp;" pl/m²"),IF(N38=O38,N38&amp;" pl/m²",N38&amp;"–"&amp;O38&amp;" pl/m²")),"—")</f>
        <v/>
      </c>
      <c r="L38" t="n">
        <v>29</v>
      </c>
      <c r="M38" t="n">
        <v>29</v>
      </c>
      <c r="N38" t="n">
        <v>22</v>
      </c>
      <c r="O38" t="n">
        <v>22</v>
      </c>
      <c r="P38" s="33" t="inlineStr">
        <is>
          <t>2 rangs</t>
        </is>
      </c>
      <c r="Q38" s="33" t="inlineStr">
        <is>
          <t>2 rangs</t>
        </is>
      </c>
    </row>
    <row r="39" ht="30" customHeight="1" s="38">
      <c r="A39" s="96" t="n"/>
      <c r="B39" s="64" t="inlineStr">
        <is>
          <t>Haricot nain</t>
        </is>
      </c>
      <c r="C39" s="65" t="inlineStr">
        <is>
          <t>Semis direct</t>
        </is>
      </c>
      <c r="D39" s="66" t="inlineStr">
        <is>
          <t xml:space="preserve"> 4 à 5 mottes/m²</t>
        </is>
      </c>
      <c r="E39" s="65" t="inlineStr">
        <is>
          <t xml:space="preserve">12 à 15 plants/m² </t>
        </is>
      </c>
      <c r="F39" s="66" t="inlineStr">
        <is>
          <t>10 × 45 cm</t>
        </is>
      </c>
      <c r="G39" s="65" t="inlineStr">
        <is>
          <t>22 plants/m²</t>
        </is>
      </c>
      <c r="H39" s="75">
        <f>IF($D$3="Agrosemens",P39,Q39)</f>
        <v/>
      </c>
      <c r="I39" s="76">
        <f>IFERROR(ROUND($C$3*IF($D$3="Agrosemens",L39,N39),0),"—")</f>
        <v/>
      </c>
      <c r="J39" s="76">
        <f>IFERROR(ROUND($C$3*IF($D$3="Agrosemens",M39,O39),0),"—")</f>
        <v/>
      </c>
      <c r="K39" s="65">
        <f>IFERROR(IF($D$3="Agrosemens",IF(L39=M39,L39&amp;" pl/m²",L39&amp;"–"&amp;M39&amp;" pl/m²"),IF(N39=O39,N39&amp;" pl/m²",N39&amp;"–"&amp;O39&amp;" pl/m²")),"—")</f>
        <v/>
      </c>
      <c r="L39" t="n">
        <v>12</v>
      </c>
      <c r="M39" t="n">
        <v>15</v>
      </c>
      <c r="N39" t="n">
        <v>22</v>
      </c>
      <c r="O39" t="n">
        <v>22</v>
      </c>
      <c r="P39" s="33" t="inlineStr">
        <is>
          <t>1 rang</t>
        </is>
      </c>
      <c r="Q39" s="33" t="inlineStr">
        <is>
          <t>2 rangs</t>
        </is>
      </c>
    </row>
    <row r="40" ht="30" customHeight="1" s="38">
      <c r="A40" s="96" t="n"/>
      <c r="B40" s="64" t="inlineStr">
        <is>
          <t>Haricot à rame</t>
        </is>
      </c>
      <c r="C40" s="65" t="inlineStr">
        <is>
          <t>Semis direct</t>
        </is>
      </c>
      <c r="D40" s="66" t="inlineStr">
        <is>
          <t xml:space="preserve">16 plants/m² </t>
        </is>
      </c>
      <c r="E40" s="65" t="inlineStr">
        <is>
          <t xml:space="preserve">15 à 22 plants/m² </t>
        </is>
      </c>
      <c r="F40" s="66" t="inlineStr">
        <is>
          <t>10 × 45 cm</t>
        </is>
      </c>
      <c r="G40" s="65" t="inlineStr">
        <is>
          <t>22 plants/m²</t>
        </is>
      </c>
      <c r="H40" s="75">
        <f>IF($D$3="Agrosemens",P40,Q40)</f>
        <v/>
      </c>
      <c r="I40" s="76">
        <f>IFERROR(ROUND($C$3*IF($D$3="Agrosemens",L40,N40),0),"—")</f>
        <v/>
      </c>
      <c r="J40" s="76">
        <f>IFERROR(ROUND($C$3*IF($D$3="Agrosemens",M40,O40),0),"—")</f>
        <v/>
      </c>
      <c r="K40" s="65">
        <f>IFERROR(IF($D$3="Agrosemens",IF(L40=M40,L40&amp;" pl/m²",L40&amp;"–"&amp;M40&amp;" pl/m²"),IF(N40=O40,N40&amp;" pl/m²",N40&amp;"–"&amp;O40&amp;" pl/m²")),"—")</f>
        <v/>
      </c>
      <c r="L40" t="n">
        <v>15</v>
      </c>
      <c r="M40" t="n">
        <v>22</v>
      </c>
      <c r="N40" t="n">
        <v>22</v>
      </c>
      <c r="O40" t="n">
        <v>22</v>
      </c>
      <c r="P40" s="33" t="inlineStr">
        <is>
          <t>1 rang</t>
        </is>
      </c>
      <c r="Q40" s="33" t="inlineStr">
        <is>
          <t>2 rangs</t>
        </is>
      </c>
    </row>
    <row r="41" ht="30" customHeight="1" s="38">
      <c r="A41" s="97" t="n"/>
      <c r="B41" s="64" t="inlineStr">
        <is>
          <t>Pois chiche</t>
        </is>
      </c>
      <c r="C41" s="65" t="inlineStr">
        <is>
          <t>Semis direct</t>
        </is>
      </c>
      <c r="D41" s="66" t="inlineStr">
        <is>
          <t>100 à 150 kg/ha</t>
        </is>
      </c>
      <c r="E41" s="65" t="inlineStr">
        <is>
          <t>28 à 43 plants/m² (100 à 150 kg/ha, PMG 350 g)</t>
        </is>
      </c>
      <c r="F41" s="66" t="inlineStr">
        <is>
          <t>10 × 20 cm</t>
        </is>
      </c>
      <c r="G41" s="65" t="inlineStr">
        <is>
          <t>50 plants/m²</t>
        </is>
      </c>
      <c r="H41" s="75">
        <f>IF($D$3="Agrosemens",P41,Q41)</f>
        <v/>
      </c>
      <c r="I41" s="76">
        <f>IFERROR(ROUND($C$3*IF($D$3="Agrosemens",L41,N41),0),"—")</f>
        <v/>
      </c>
      <c r="J41" s="76">
        <f>IFERROR(ROUND($C$3*IF($D$3="Agrosemens",M41,O41),0),"—")</f>
        <v/>
      </c>
      <c r="K41" s="65">
        <f>IFERROR(IF($D$3="Agrosemens",IF(L41=M41,L41&amp;" pl/m²",L41&amp;"–"&amp;M41&amp;" pl/m²"),IF(N41=O41,N41&amp;" pl/m²",N41&amp;"–"&amp;O41&amp;" pl/m²")),"—")</f>
        <v/>
      </c>
      <c r="L41" t="n">
        <v>28</v>
      </c>
      <c r="M41" t="n">
        <v>43</v>
      </c>
      <c r="N41" t="n">
        <v>50</v>
      </c>
      <c r="O41" t="n">
        <v>50</v>
      </c>
      <c r="P41" s="33" t="inlineStr">
        <is>
          <t>2 rangs</t>
        </is>
      </c>
      <c r="Q41" s="33" t="inlineStr">
        <is>
          <t>5 rangs</t>
        </is>
      </c>
    </row>
    <row r="42" ht="8" customHeight="1" s="38"/>
    <row r="43" ht="30" customHeight="1" s="38">
      <c r="A43" s="69" t="inlineStr">
        <is>
          <t>Légumes- feuilles</t>
        </is>
      </c>
      <c r="B43" s="64" t="inlineStr">
        <is>
          <t>Laitue</t>
        </is>
      </c>
      <c r="C43" s="65" t="inlineStr">
        <is>
          <t>Motte</t>
        </is>
      </c>
      <c r="D43" s="66" t="inlineStr">
        <is>
          <t>25×30 cm</t>
        </is>
      </c>
      <c r="E43" s="65" t="inlineStr">
        <is>
          <t>14 plants/m²</t>
        </is>
      </c>
      <c r="F43" s="66" t="inlineStr">
        <is>
          <t>25 × 25 cm</t>
        </is>
      </c>
      <c r="G43" s="65" t="inlineStr">
        <is>
          <t>16 plants/m²</t>
        </is>
      </c>
      <c r="H43" s="75">
        <f>IF($D$3="Agrosemens",P43,Q43)</f>
        <v/>
      </c>
      <c r="I43" s="76">
        <f>IFERROR(ROUND($C$3*IF($D$3="Agrosemens",L43,N43),0),"—")</f>
        <v/>
      </c>
      <c r="J43" s="76">
        <f>IFERROR(ROUND($C$3*IF($D$3="Agrosemens",M43,O43),0),"—")</f>
        <v/>
      </c>
      <c r="K43" s="65">
        <f>IFERROR(IF($D$3="Agrosemens",IF(L43=M43,L43&amp;" pl/m²",L43&amp;"–"&amp;M43&amp;" pl/m²"),IF(N43=O43,N43&amp;" pl/m²",N43&amp;"–"&amp;O43&amp;" pl/m²")),"—")</f>
        <v/>
      </c>
      <c r="L43" t="n">
        <v>14</v>
      </c>
      <c r="M43" t="n">
        <v>14</v>
      </c>
      <c r="N43" t="n">
        <v>16</v>
      </c>
      <c r="O43" t="n">
        <v>16</v>
      </c>
      <c r="P43" s="33" t="inlineStr">
        <is>
          <t>3 rangs</t>
        </is>
      </c>
      <c r="Q43" s="33" t="inlineStr">
        <is>
          <t>4 rangs</t>
        </is>
      </c>
    </row>
    <row r="44" ht="30" customHeight="1" s="38">
      <c r="A44" s="96" t="n"/>
      <c r="B44" s="64" t="inlineStr">
        <is>
          <t>Batavia</t>
        </is>
      </c>
      <c r="C44" s="65" t="inlineStr">
        <is>
          <t>Motte</t>
        </is>
      </c>
      <c r="D44" s="66" t="inlineStr">
        <is>
          <t>25×30 cm</t>
        </is>
      </c>
      <c r="E44" s="65" t="inlineStr">
        <is>
          <t>14 plants/m²</t>
        </is>
      </c>
      <c r="F44" s="66" t="inlineStr">
        <is>
          <t>25 × 25 cm</t>
        </is>
      </c>
      <c r="G44" s="65" t="inlineStr">
        <is>
          <t>16 plants/m²</t>
        </is>
      </c>
      <c r="H44" s="75">
        <f>IF($D$3="Agrosemens",P44,Q44)</f>
        <v/>
      </c>
      <c r="I44" s="76">
        <f>IFERROR(ROUND($C$3*IF($D$3="Agrosemens",L44,N44),0),"—")</f>
        <v/>
      </c>
      <c r="J44" s="76">
        <f>IFERROR(ROUND($C$3*IF($D$3="Agrosemens",M44,O44),0),"—")</f>
        <v/>
      </c>
      <c r="K44" s="65">
        <f>IFERROR(IF($D$3="Agrosemens",IF(L44=M44,L44&amp;" pl/m²",L44&amp;"–"&amp;M44&amp;" pl/m²"),IF(N44=O44,N44&amp;" pl/m²",N44&amp;"–"&amp;O44&amp;" pl/m²")),"—")</f>
        <v/>
      </c>
      <c r="L44" t="n">
        <v>14</v>
      </c>
      <c r="M44" t="n">
        <v>14</v>
      </c>
      <c r="N44" t="n">
        <v>16</v>
      </c>
      <c r="O44" t="n">
        <v>16</v>
      </c>
      <c r="P44" s="33" t="inlineStr">
        <is>
          <t>3 rangs</t>
        </is>
      </c>
      <c r="Q44" s="33" t="inlineStr">
        <is>
          <t>4 rangs</t>
        </is>
      </c>
    </row>
    <row r="45" ht="30" customHeight="1" s="38">
      <c r="A45" s="96" t="n"/>
      <c r="B45" s="64" t="inlineStr">
        <is>
          <t>Feuille de chêne</t>
        </is>
      </c>
      <c r="C45" s="65" t="inlineStr">
        <is>
          <t>Motte</t>
        </is>
      </c>
      <c r="D45" s="66" t="inlineStr">
        <is>
          <t>25×30 cm</t>
        </is>
      </c>
      <c r="E45" s="65" t="inlineStr">
        <is>
          <t>14 plants/m²</t>
        </is>
      </c>
      <c r="F45" s="66" t="inlineStr">
        <is>
          <t>15 × 15 cm</t>
        </is>
      </c>
      <c r="G45" s="65" t="inlineStr">
        <is>
          <t>44 plants/m²</t>
        </is>
      </c>
      <c r="H45" s="75">
        <f>IF($D$3="Agrosemens",P45,Q45)</f>
        <v/>
      </c>
      <c r="I45" s="76">
        <f>IFERROR(ROUND($C$3*IF($D$3="Agrosemens",L45,N45),0),"—")</f>
        <v/>
      </c>
      <c r="J45" s="76">
        <f>IFERROR(ROUND($C$3*IF($D$3="Agrosemens",M45,O45),0),"—")</f>
        <v/>
      </c>
      <c r="K45" s="65">
        <f>IFERROR(IF($D$3="Agrosemens",IF(L45=M45,L45&amp;" pl/m²",L45&amp;"–"&amp;M45&amp;" pl/m²"),IF(N45=O45,N45&amp;" pl/m²",N45&amp;"–"&amp;O45&amp;" pl/m²")),"—")</f>
        <v/>
      </c>
      <c r="L45" t="n">
        <v>14</v>
      </c>
      <c r="M45" t="n">
        <v>14</v>
      </c>
      <c r="N45" t="n">
        <v>44</v>
      </c>
      <c r="O45" t="n">
        <v>44</v>
      </c>
      <c r="P45" s="33" t="inlineStr">
        <is>
          <t>3 rangs</t>
        </is>
      </c>
      <c r="Q45" s="33" t="inlineStr">
        <is>
          <t>7 rangs</t>
        </is>
      </c>
    </row>
    <row r="46" ht="30" customHeight="1" s="38">
      <c r="A46" s="96" t="n"/>
      <c r="B46" s="64" t="inlineStr">
        <is>
          <t>Mâche</t>
        </is>
      </c>
      <c r="C46" s="65" t="inlineStr">
        <is>
          <t>Motte</t>
        </is>
      </c>
      <c r="D46" s="66" t="inlineStr">
        <is>
          <t>20×20 cm</t>
        </is>
      </c>
      <c r="E46" s="65" t="inlineStr">
        <is>
          <t>40 plants/m² plein champ ; 32 plants/m² sous abri</t>
        </is>
      </c>
      <c r="F46" s="66" t="inlineStr">
        <is>
          <t>10 × 10 cm</t>
        </is>
      </c>
      <c r="G46" s="65" t="inlineStr">
        <is>
          <t>100 plants/m²</t>
        </is>
      </c>
      <c r="H46" s="75">
        <f>IF($D$3="Agrosemens",P46,Q46)</f>
        <v/>
      </c>
      <c r="I46" s="76">
        <f>IFERROR(ROUND($C$3*IF($D$3="Agrosemens",L46,N46),0),"—")</f>
        <v/>
      </c>
      <c r="J46" s="76">
        <f>IFERROR(ROUND($C$3*IF($D$3="Agrosemens",M46,O46),0),"—")</f>
        <v/>
      </c>
      <c r="K46" s="65">
        <f>IFERROR(IF($D$3="Agrosemens",IF(L46=M46,L46&amp;" pl/m²",L46&amp;"–"&amp;M46&amp;" pl/m²"),IF(N46=O46,N46&amp;" pl/m²",N46&amp;"–"&amp;O46&amp;" pl/m²")),"—")</f>
        <v/>
      </c>
      <c r="L46" t="n">
        <v>32</v>
      </c>
      <c r="M46" t="n">
        <v>40</v>
      </c>
      <c r="N46" t="n">
        <v>100</v>
      </c>
      <c r="O46" t="n">
        <v>100</v>
      </c>
      <c r="P46" s="33" t="inlineStr">
        <is>
          <t>3 rangs</t>
        </is>
      </c>
      <c r="Q46" s="33" t="inlineStr">
        <is>
          <t>9 rangs</t>
        </is>
      </c>
    </row>
    <row r="47" ht="30" customHeight="1" s="38">
      <c r="A47" s="96" t="n"/>
      <c r="B47" s="64" t="inlineStr">
        <is>
          <t>Épinard</t>
        </is>
      </c>
      <c r="C47" s="65" t="inlineStr">
        <is>
          <t>Motte</t>
        </is>
      </c>
      <c r="D47" s="66" t="inlineStr">
        <is>
          <t>25×25 cm</t>
        </is>
      </c>
      <c r="E47" s="65" t="inlineStr">
        <is>
          <t>16 plants/m²</t>
        </is>
      </c>
      <c r="F47" s="66" t="inlineStr">
        <is>
          <t>20 × 20 cm</t>
        </is>
      </c>
      <c r="G47" s="65" t="inlineStr">
        <is>
          <t>25 plants/m²</t>
        </is>
      </c>
      <c r="H47" s="75">
        <f>IF($D$3="Agrosemens",P47,Q47)</f>
        <v/>
      </c>
      <c r="I47" s="76">
        <f>IFERROR(ROUND($C$3*IF($D$3="Agrosemens",L47,N47),0),"—")</f>
        <v/>
      </c>
      <c r="J47" s="76">
        <f>IFERROR(ROUND($C$3*IF($D$3="Agrosemens",M47,O47),0),"—")</f>
        <v/>
      </c>
      <c r="K47" s="65">
        <f>IFERROR(IF($D$3="Agrosemens",IF(L47=M47,L47&amp;" pl/m²",L47&amp;"–"&amp;M47&amp;" pl/m²"),IF(N47=O47,N47&amp;" pl/m²",N47&amp;"–"&amp;O47&amp;" pl/m²")),"—")</f>
        <v/>
      </c>
      <c r="L47" t="n">
        <v>16</v>
      </c>
      <c r="M47" t="n">
        <v>16</v>
      </c>
      <c r="N47" t="n">
        <v>25</v>
      </c>
      <c r="O47" t="n">
        <v>25</v>
      </c>
      <c r="P47" s="33" t="inlineStr">
        <is>
          <t>3 rangs</t>
        </is>
      </c>
      <c r="Q47" s="33" t="inlineStr">
        <is>
          <t>5 rangs</t>
        </is>
      </c>
    </row>
    <row r="48" ht="30" customHeight="1" s="38">
      <c r="A48" s="97" t="n"/>
      <c r="B48" s="64" t="inlineStr">
        <is>
          <t>Roquette</t>
        </is>
      </c>
      <c r="C48" s="65" t="inlineStr">
        <is>
          <t>Motte</t>
        </is>
      </c>
      <c r="D48" s="66" t="inlineStr">
        <is>
          <t>15×25 cm</t>
        </is>
      </c>
      <c r="E48" s="65" t="inlineStr">
        <is>
          <t>28 plants/m²</t>
        </is>
      </c>
      <c r="F48" s="66" t="inlineStr">
        <is>
          <t>10 × 10 cm</t>
        </is>
      </c>
      <c r="G48" s="65" t="inlineStr">
        <is>
          <t>100 plants/m²</t>
        </is>
      </c>
      <c r="H48" s="75">
        <f>IF($D$3="Agrosemens",P48,Q48)</f>
        <v/>
      </c>
      <c r="I48" s="76">
        <f>IFERROR(ROUND($C$3*IF($D$3="Agrosemens",L48,N48),0),"—")</f>
        <v/>
      </c>
      <c r="J48" s="76">
        <f>IFERROR(ROUND($C$3*IF($D$3="Agrosemens",M48,O48),0),"—")</f>
        <v/>
      </c>
      <c r="K48" s="65">
        <f>IFERROR(IF($D$3="Agrosemens",IF(L48=M48,L48&amp;" pl/m²",L48&amp;"–"&amp;M48&amp;" pl/m²"),IF(N48=O48,N48&amp;" pl/m²",N48&amp;"–"&amp;O48&amp;" pl/m²")),"—")</f>
        <v/>
      </c>
      <c r="L48" t="n">
        <v>28</v>
      </c>
      <c r="M48" t="n">
        <v>28</v>
      </c>
      <c r="N48" t="n">
        <v>100</v>
      </c>
      <c r="O48" t="n">
        <v>100</v>
      </c>
      <c r="P48" s="33" t="inlineStr">
        <is>
          <t>4 rangs</t>
        </is>
      </c>
      <c r="Q48" s="33" t="inlineStr">
        <is>
          <t>9 rangs</t>
        </is>
      </c>
    </row>
    <row r="49" ht="8" customHeight="1" s="38"/>
    <row r="50" ht="30" customHeight="1" s="38">
      <c r="A50" s="69" t="inlineStr">
        <is>
          <t>Racines</t>
        </is>
      </c>
      <c r="B50" s="64" t="inlineStr">
        <is>
          <t>Carotte</t>
        </is>
      </c>
      <c r="C50" s="65" t="inlineStr">
        <is>
          <t>Ligne</t>
        </is>
      </c>
      <c r="D50" s="66" t="inlineStr">
        <is>
          <t>3 à 8 × 30 cm; 60 à 105 graines/ml</t>
        </is>
      </c>
      <c r="E50" s="65" t="inlineStr">
        <is>
          <t>200 à 350 plants/m² (60 à 105 graines/ml × 3,3 rangs/m)</t>
        </is>
      </c>
      <c r="F50" s="66" t="inlineStr">
        <is>
          <t>3 × 20 cm</t>
        </is>
      </c>
      <c r="G50" s="65" t="inlineStr">
        <is>
          <t>166 plants/m²</t>
        </is>
      </c>
      <c r="H50" s="75">
        <f>IF($D$3="Agrosemens",P50,Q50)</f>
        <v/>
      </c>
      <c r="I50" s="76">
        <f>IFERROR(ROUND($C$3*IF($D$3="Agrosemens",L50,N50),0),"—")</f>
        <v/>
      </c>
      <c r="J50" s="76">
        <f>IFERROR(ROUND($C$3*IF($D$3="Agrosemens",M50,O50),0),"—")</f>
        <v/>
      </c>
      <c r="K50" s="65">
        <f>IFERROR(IF($D$3="Agrosemens",IF(L50=M50,L50&amp;" pl/m²",L50&amp;"–"&amp;M50&amp;" pl/m²"),IF(N50=O50,N50&amp;" pl/m²",N50&amp;"–"&amp;O50&amp;" pl/m²")),"—")</f>
        <v/>
      </c>
      <c r="L50" t="n">
        <v>200</v>
      </c>
      <c r="M50" t="n">
        <v>350</v>
      </c>
      <c r="N50" t="n">
        <v>166</v>
      </c>
      <c r="O50" t="n">
        <v>166</v>
      </c>
      <c r="P50" s="33" t="inlineStr">
        <is>
          <t>4 rangs</t>
        </is>
      </c>
      <c r="Q50" s="33" t="inlineStr">
        <is>
          <t>5 rangs</t>
        </is>
      </c>
    </row>
    <row r="51" ht="30" customHeight="1" s="38">
      <c r="A51" s="96" t="n"/>
      <c r="B51" s="64" t="inlineStr">
        <is>
          <t>Betterave</t>
        </is>
      </c>
      <c r="C51" s="65" t="inlineStr">
        <is>
          <t>Motte</t>
        </is>
      </c>
      <c r="D51" s="66" t="inlineStr">
        <is>
          <t>15 à 18 pieds/ml</t>
        </is>
      </c>
      <c r="E51" s="65" t="inlineStr">
        <is>
          <t>35 à 60 plants/m²</t>
        </is>
      </c>
      <c r="F51" s="66" t="inlineStr">
        <is>
          <t>5 × 20 cm</t>
        </is>
      </c>
      <c r="G51" s="65" t="inlineStr">
        <is>
          <t>100 plants/m²</t>
        </is>
      </c>
      <c r="H51" s="75">
        <f>IF($D$3="Agrosemens",P51,Q51)</f>
        <v/>
      </c>
      <c r="I51" s="76">
        <f>IFERROR(ROUND($C$3*IF($D$3="Agrosemens",L51,N51),0),"—")</f>
        <v/>
      </c>
      <c r="J51" s="76">
        <f>IFERROR(ROUND($C$3*IF($D$3="Agrosemens",M51,O51),0),"—")</f>
        <v/>
      </c>
      <c r="K51" s="65">
        <f>IFERROR(IF($D$3="Agrosemens",IF(L51=M51,L51&amp;" pl/m²",L51&amp;"–"&amp;M51&amp;" pl/m²"),IF(N51=O51,N51&amp;" pl/m²",N51&amp;"–"&amp;O51&amp;" pl/m²")),"—")</f>
        <v/>
      </c>
      <c r="L51" t="n">
        <v>35</v>
      </c>
      <c r="M51" t="n">
        <v>60</v>
      </c>
      <c r="N51" t="n">
        <v>100</v>
      </c>
      <c r="O51" t="n">
        <v>100</v>
      </c>
      <c r="P51" s="33" t="inlineStr">
        <is>
          <t>3 à 4 rangs</t>
        </is>
      </c>
      <c r="Q51" s="33" t="inlineStr">
        <is>
          <t>5 rangs</t>
        </is>
      </c>
    </row>
    <row r="52" ht="30" customHeight="1" s="38">
      <c r="A52" s="96" t="n"/>
      <c r="B52" s="64" t="inlineStr">
        <is>
          <t>Betterave</t>
        </is>
      </c>
      <c r="C52" s="65" t="inlineStr">
        <is>
          <t>Ligne</t>
        </is>
      </c>
      <c r="D52" s="66" t="inlineStr">
        <is>
          <t>15 à 18 pieds/ml; 35 à 60 plants/m²</t>
        </is>
      </c>
      <c r="E52" s="65" t="inlineStr">
        <is>
          <t>35 à 60 plants/m²</t>
        </is>
      </c>
      <c r="F52" s="66" t="inlineStr">
        <is>
          <t>5 × 20 cm</t>
        </is>
      </c>
      <c r="G52" s="65" t="inlineStr">
        <is>
          <t>100 plants/m²</t>
        </is>
      </c>
      <c r="H52" s="75">
        <f>IF($D$3="Agrosemens",P52,Q52)</f>
        <v/>
      </c>
      <c r="I52" s="76">
        <f>IFERROR(ROUND($C$3*IF($D$3="Agrosemens",L52,N52),0),"—")</f>
        <v/>
      </c>
      <c r="J52" s="76">
        <f>IFERROR(ROUND($C$3*IF($D$3="Agrosemens",M52,O52),0),"—")</f>
        <v/>
      </c>
      <c r="K52" s="65">
        <f>IFERROR(IF($D$3="Agrosemens",IF(L52=M52,L52&amp;" pl/m²",L52&amp;"–"&amp;M52&amp;" pl/m²"),IF(N52=O52,N52&amp;" pl/m²",N52&amp;"–"&amp;O52&amp;" pl/m²")),"—")</f>
        <v/>
      </c>
      <c r="L52" t="n">
        <v>35</v>
      </c>
      <c r="M52" t="n">
        <v>60</v>
      </c>
      <c r="N52" t="n">
        <v>100</v>
      </c>
      <c r="O52" t="n">
        <v>100</v>
      </c>
      <c r="P52" s="33" t="inlineStr">
        <is>
          <t>3 à 4 rangs</t>
        </is>
      </c>
      <c r="Q52" s="33" t="inlineStr">
        <is>
          <t>5 rangs</t>
        </is>
      </c>
    </row>
    <row r="53" ht="30" customHeight="1" s="38">
      <c r="A53" s="96" t="n"/>
      <c r="B53" s="64" t="inlineStr">
        <is>
          <t>Blette</t>
        </is>
      </c>
      <c r="C53" s="65" t="inlineStr">
        <is>
          <t>Ligne</t>
        </is>
      </c>
      <c r="D53" s="66" t="inlineStr">
        <is>
          <t>45×40 cm</t>
        </is>
      </c>
      <c r="E53" s="65" t="inlineStr">
        <is>
          <t>6 plants/m²</t>
        </is>
      </c>
      <c r="F53" s="66" t="inlineStr">
        <is>
          <t>20 × 25 cm</t>
        </is>
      </c>
      <c r="G53" s="65" t="inlineStr">
        <is>
          <t>20 plants/m²</t>
        </is>
      </c>
      <c r="H53" s="75">
        <f>IF($D$3="Agrosemens",P53,Q53)</f>
        <v/>
      </c>
      <c r="I53" s="76">
        <f>IFERROR(ROUND($C$3*IF($D$3="Agrosemens",L53,N53),0),"—")</f>
        <v/>
      </c>
      <c r="J53" s="76">
        <f>IFERROR(ROUND($C$3*IF($D$3="Agrosemens",M53,O53),0),"—")</f>
        <v/>
      </c>
      <c r="K53" s="65">
        <f>IFERROR(IF($D$3="Agrosemens",IF(L53=M53,L53&amp;" pl/m²",L53&amp;"–"&amp;M53&amp;" pl/m²"),IF(N53=O53,N53&amp;" pl/m²",N53&amp;"–"&amp;O53&amp;" pl/m²")),"—")</f>
        <v/>
      </c>
      <c r="L53" t="n">
        <v>6</v>
      </c>
      <c r="M53" t="n">
        <v>6</v>
      </c>
      <c r="N53" t="n">
        <v>20</v>
      </c>
      <c r="O53" t="n">
        <v>20</v>
      </c>
      <c r="P53" s="33" t="inlineStr">
        <is>
          <t>2 rangs</t>
        </is>
      </c>
      <c r="Q53" s="33" t="inlineStr">
        <is>
          <t>4 rangs</t>
        </is>
      </c>
    </row>
    <row r="54" ht="30" customHeight="1" s="38">
      <c r="A54" s="96" t="n"/>
      <c r="B54" s="64" t="inlineStr">
        <is>
          <t>Panais</t>
        </is>
      </c>
      <c r="C54" s="65" t="inlineStr">
        <is>
          <t>Ligne</t>
        </is>
      </c>
      <c r="D54" s="66" t="inlineStr">
        <is>
          <t>10 à 12 × 25 à 50 cm</t>
        </is>
      </c>
      <c r="E54" s="65" t="inlineStr">
        <is>
          <t>17 à 40 plants/m² (selon espacement)</t>
        </is>
      </c>
      <c r="F54" s="66" t="inlineStr">
        <is>
          <t>10 × 20 cm</t>
        </is>
      </c>
      <c r="G54" s="65" t="inlineStr">
        <is>
          <t>50 plants/m²</t>
        </is>
      </c>
      <c r="H54" s="75">
        <f>IF($D$3="Agrosemens",P54,Q54)</f>
        <v/>
      </c>
      <c r="I54" s="76">
        <f>IFERROR(ROUND($C$3*IF($D$3="Agrosemens",L54,N54),0),"—")</f>
        <v/>
      </c>
      <c r="J54" s="76">
        <f>IFERROR(ROUND($C$3*IF($D$3="Agrosemens",M54,O54),0),"—")</f>
        <v/>
      </c>
      <c r="K54" s="65">
        <f>IFERROR(IF($D$3="Agrosemens",IF(L54=M54,L54&amp;" pl/m²",L54&amp;"–"&amp;M54&amp;" pl/m²"),IF(N54=O54,N54&amp;" pl/m²",N54&amp;"–"&amp;O54&amp;" pl/m²")),"—")</f>
        <v/>
      </c>
      <c r="L54" t="n">
        <v>17</v>
      </c>
      <c r="M54" t="n">
        <v>40</v>
      </c>
      <c r="N54" t="n">
        <v>50</v>
      </c>
      <c r="O54" t="n">
        <v>50</v>
      </c>
      <c r="P54" s="33" t="inlineStr">
        <is>
          <t>3 rangs</t>
        </is>
      </c>
      <c r="Q54" s="33" t="inlineStr">
        <is>
          <t>5 rangs</t>
        </is>
      </c>
    </row>
    <row r="55" ht="30" customHeight="1" s="38">
      <c r="A55" s="97" t="n"/>
      <c r="B55" s="64" t="inlineStr">
        <is>
          <t>Radis noir</t>
        </is>
      </c>
      <c r="C55" s="65" t="inlineStr">
        <is>
          <t>Ligne</t>
        </is>
      </c>
      <c r="D55" s="66" t="inlineStr">
        <is>
          <t xml:space="preserve"> 5 × 20 cm </t>
        </is>
      </c>
      <c r="E55" s="65" t="inlineStr">
        <is>
          <t>100 à 222 plants/m² (selon espacement)</t>
        </is>
      </c>
      <c r="F55" s="66" t="inlineStr">
        <is>
          <t>10 × 20 cm</t>
        </is>
      </c>
      <c r="G55" s="65" t="inlineStr">
        <is>
          <t>50 plants/m²</t>
        </is>
      </c>
      <c r="H55" s="75">
        <f>IF($D$3="Agrosemens",P55,Q55)</f>
        <v/>
      </c>
      <c r="I55" s="76">
        <f>IFERROR(ROUND($C$3*IF($D$3="Agrosemens",L55,N55),0),"—")</f>
        <v/>
      </c>
      <c r="J55" s="76">
        <f>IFERROR(ROUND($C$3*IF($D$3="Agrosemens",M55,O55),0),"—")</f>
        <v/>
      </c>
      <c r="K55" s="65">
        <f>IFERROR(IF($D$3="Agrosemens",IF(L55=M55,L55&amp;" pl/m²",L55&amp;"–"&amp;M55&amp;" pl/m²"),IF(N55=O55,N55&amp;" pl/m²",N55&amp;"–"&amp;O55&amp;" pl/m²")),"—")</f>
        <v/>
      </c>
      <c r="L55" t="n">
        <v>100</v>
      </c>
      <c r="M55" t="n">
        <v>222</v>
      </c>
      <c r="N55" t="n">
        <v>50</v>
      </c>
      <c r="O55" t="n">
        <v>50</v>
      </c>
      <c r="P55" s="33" t="inlineStr">
        <is>
          <t>3 rangs</t>
        </is>
      </c>
      <c r="Q55" s="33" t="inlineStr">
        <is>
          <t>5 rangs</t>
        </is>
      </c>
    </row>
    <row r="56" ht="8" customHeight="1" s="38"/>
    <row r="57" ht="30" customHeight="1" s="38">
      <c r="A57" s="69" t="inlineStr">
        <is>
          <t>Autres</t>
        </is>
      </c>
      <c r="B57" s="64" t="inlineStr">
        <is>
          <t>Maïs doux</t>
        </is>
      </c>
      <c r="C57" s="65" t="inlineStr">
        <is>
          <t>Semis direct</t>
        </is>
      </c>
      <c r="D57" s="66" t="inlineStr">
        <is>
          <t>5×30 cm ou 20 à 30 cm × 50 cm</t>
        </is>
      </c>
      <c r="E57" s="65" t="inlineStr">
        <is>
          <t>7 à 10 plants/m² (espacement final 20–30 × 50 cm)</t>
        </is>
      </c>
      <c r="F57" s="66" t="inlineStr">
        <is>
          <t>25 × 25 cm</t>
        </is>
      </c>
      <c r="G57" s="65" t="inlineStr">
        <is>
          <t>16 plants/m²</t>
        </is>
      </c>
      <c r="H57" s="75">
        <f>IF($D$3="Agrosemens",P57,Q57)</f>
        <v/>
      </c>
      <c r="I57" s="76">
        <f>IFERROR(ROUND($C$3*IF($D$3="Agrosemens",L57,N57),0),"—")</f>
        <v/>
      </c>
      <c r="J57" s="76">
        <f>IFERROR(ROUND($C$3*IF($D$3="Agrosemens",M57,O57),0),"—")</f>
        <v/>
      </c>
      <c r="K57" s="65">
        <f>IFERROR(IF($D$3="Agrosemens",IF(L57=M57,L57&amp;" pl/m²",L57&amp;"–"&amp;M57&amp;" pl/m²"),IF(N57=O57,N57&amp;" pl/m²",N57&amp;"–"&amp;O57&amp;" pl/m²")),"—")</f>
        <v/>
      </c>
      <c r="L57" t="n">
        <v>7</v>
      </c>
      <c r="M57" t="n">
        <v>10</v>
      </c>
      <c r="N57" t="n">
        <v>16</v>
      </c>
      <c r="O57" t="n">
        <v>16</v>
      </c>
      <c r="P57" s="33" t="inlineStr">
        <is>
          <t>2 rangs</t>
        </is>
      </c>
      <c r="Q57" s="33" t="inlineStr">
        <is>
          <t>4 rangs</t>
        </is>
      </c>
    </row>
    <row r="58" ht="30" customHeight="1" s="38">
      <c r="A58" s="96" t="n"/>
      <c r="B58" s="64" t="inlineStr">
        <is>
          <t>Fenouil</t>
        </is>
      </c>
      <c r="C58" s="65" t="inlineStr">
        <is>
          <t>Ligne ou motte</t>
        </is>
      </c>
      <c r="D58" s="66" t="inlineStr">
        <is>
          <t>30×35 cm plein champ ; sous abri à plus serré</t>
        </is>
      </c>
      <c r="E58" s="65" t="inlineStr">
        <is>
          <t>10 plants/m² plein champ ; 14 plants/m² sous abri</t>
        </is>
      </c>
      <c r="F58" s="66" t="inlineStr">
        <is>
          <t>25 × 25 cm</t>
        </is>
      </c>
      <c r="G58" s="65" t="inlineStr">
        <is>
          <t>16 plants/m²</t>
        </is>
      </c>
      <c r="H58" s="75">
        <f>IF($D$3="Agrosemens",P58,Q58)</f>
        <v/>
      </c>
      <c r="I58" s="76">
        <f>IFERROR(ROUND($C$3*IF($D$3="Agrosemens",L58,N58),0),"—")</f>
        <v/>
      </c>
      <c r="J58" s="76">
        <f>IFERROR(ROUND($C$3*IF($D$3="Agrosemens",M58,O58),0),"—")</f>
        <v/>
      </c>
      <c r="K58" s="65">
        <f>IFERROR(IF($D$3="Agrosemens",IF(L58=M58,L58&amp;" pl/m²",L58&amp;"–"&amp;M58&amp;" pl/m²"),IF(N58=O58,N58&amp;" pl/m²",N58&amp;"–"&amp;O58&amp;" pl/m²")),"—")</f>
        <v/>
      </c>
      <c r="L58" t="n">
        <v>10</v>
      </c>
      <c r="M58" t="n">
        <v>14</v>
      </c>
      <c r="N58" t="n">
        <v>16</v>
      </c>
      <c r="O58" t="n">
        <v>16</v>
      </c>
      <c r="P58" s="33" t="inlineStr">
        <is>
          <t>3 rangs</t>
        </is>
      </c>
      <c r="Q58" s="33" t="inlineStr">
        <is>
          <t>4 rangs</t>
        </is>
      </c>
    </row>
    <row r="59" ht="30" customHeight="1" s="38">
      <c r="A59" s="96" t="n"/>
      <c r="B59" s="64" t="inlineStr">
        <is>
          <t>Céleri branche</t>
        </is>
      </c>
      <c r="C59" s="65" t="inlineStr">
        <is>
          <t>Motte</t>
        </is>
      </c>
      <c r="D59" s="66" t="inlineStr">
        <is>
          <t>20 × 30 cm</t>
        </is>
      </c>
      <c r="E59" s="65" t="inlineStr">
        <is>
          <t>17 à 20 plants/m²</t>
        </is>
      </c>
      <c r="F59" s="66" t="inlineStr">
        <is>
          <t>20 × 20 cm</t>
        </is>
      </c>
      <c r="G59" s="65" t="inlineStr">
        <is>
          <t>25 plants/m²</t>
        </is>
      </c>
      <c r="H59" s="75">
        <f>IF($D$3="Agrosemens",P59,Q59)</f>
        <v/>
      </c>
      <c r="I59" s="76">
        <f>IFERROR(ROUND($C$3*IF($D$3="Agrosemens",L59,N59),0),"—")</f>
        <v/>
      </c>
      <c r="J59" s="76">
        <f>IFERROR(ROUND($C$3*IF($D$3="Agrosemens",M59,O59),0),"—")</f>
        <v/>
      </c>
      <c r="K59" s="65">
        <f>IFERROR(IF($D$3="Agrosemens",IF(L59=M59,L59&amp;" pl/m²",L59&amp;"–"&amp;M59&amp;" pl/m²"),IF(N59=O59,N59&amp;" pl/m²",N59&amp;"–"&amp;O59&amp;" pl/m²")),"—")</f>
        <v/>
      </c>
      <c r="L59" t="n">
        <v>17</v>
      </c>
      <c r="M59" t="n">
        <v>20</v>
      </c>
      <c r="N59" t="n">
        <v>25</v>
      </c>
      <c r="O59" t="n">
        <v>25</v>
      </c>
      <c r="P59" s="33" t="inlineStr">
        <is>
          <t>3 rangs</t>
        </is>
      </c>
      <c r="Q59" s="33" t="inlineStr">
        <is>
          <t>5 rangs</t>
        </is>
      </c>
    </row>
    <row r="60" ht="30" customHeight="1" s="38">
      <c r="A60" s="96" t="n"/>
      <c r="B60" s="64" t="inlineStr">
        <is>
          <t>Céleri-rave</t>
        </is>
      </c>
      <c r="C60" s="65" t="inlineStr">
        <is>
          <t>Motte</t>
        </is>
      </c>
      <c r="D60" s="66" t="inlineStr">
        <is>
          <t xml:space="preserve">50  × 60 cm </t>
        </is>
      </c>
      <c r="E60" s="65" t="inlineStr">
        <is>
          <t>4 à 6 plants/m²</t>
        </is>
      </c>
      <c r="F60" s="66" t="inlineStr">
        <is>
          <t>25 × 25 cm</t>
        </is>
      </c>
      <c r="G60" s="65" t="inlineStr">
        <is>
          <t>16 plants/m²</t>
        </is>
      </c>
      <c r="H60" s="75">
        <f>IF($D$3="Agrosemens",P60,Q60)</f>
        <v/>
      </c>
      <c r="I60" s="76">
        <f>IFERROR(ROUND($C$3*IF($D$3="Agrosemens",L60,N60),0),"—")</f>
        <v/>
      </c>
      <c r="J60" s="76">
        <f>IFERROR(ROUND($C$3*IF($D$3="Agrosemens",M60,O60),0),"—")</f>
        <v/>
      </c>
      <c r="K60" s="65">
        <f>IFERROR(IF($D$3="Agrosemens",IF(L60=M60,L60&amp;" pl/m²",L60&amp;"–"&amp;M60&amp;" pl/m²"),IF(N60=O60,N60&amp;" pl/m²",N60&amp;"–"&amp;O60&amp;" pl/m²")),"—")</f>
        <v/>
      </c>
      <c r="L60" t="n">
        <v>4</v>
      </c>
      <c r="M60" t="n">
        <v>6</v>
      </c>
      <c r="N60" t="n">
        <v>16</v>
      </c>
      <c r="O60" t="n">
        <v>16</v>
      </c>
      <c r="P60" s="33" t="inlineStr">
        <is>
          <t>2 rangs</t>
        </is>
      </c>
      <c r="Q60" s="33" t="inlineStr">
        <is>
          <t>4 rangs</t>
        </is>
      </c>
    </row>
    <row r="61" ht="30" customHeight="1" s="38">
      <c r="A61" s="97" t="n"/>
      <c r="B61" s="64" t="inlineStr">
        <is>
          <t>Chicorée</t>
        </is>
      </c>
      <c r="C61" s="65" t="inlineStr">
        <is>
          <t>Motte</t>
        </is>
      </c>
      <c r="D61" s="66" t="inlineStr">
        <is>
          <t>30×30 cm</t>
        </is>
      </c>
      <c r="E61" s="65" t="inlineStr">
        <is>
          <t>11 plants/m²</t>
        </is>
      </c>
      <c r="F61" s="66" t="inlineStr">
        <is>
          <t>30 × 30 cm</t>
        </is>
      </c>
      <c r="G61" s="65" t="inlineStr">
        <is>
          <t>11 plants/m²</t>
        </is>
      </c>
      <c r="H61" s="75">
        <f>IF($D$3="Agrosemens",P61,Q61)</f>
        <v/>
      </c>
      <c r="I61" s="76">
        <f>IFERROR(ROUND($C$3*IF($D$3="Agrosemens",L61,N61),0),"—")</f>
        <v/>
      </c>
      <c r="J61" s="76">
        <f>IFERROR(ROUND($C$3*IF($D$3="Agrosemens",M61,O61),0),"—")</f>
        <v/>
      </c>
      <c r="K61" s="65">
        <f>IFERROR(IF($D$3="Agrosemens",IF(L61=M61,L61&amp;" pl/m²",L61&amp;"–"&amp;M61&amp;" pl/m²"),IF(N61=O61,N61&amp;" pl/m²",N61&amp;"–"&amp;O61&amp;" pl/m²")),"—")</f>
        <v/>
      </c>
      <c r="L61" t="n">
        <v>11</v>
      </c>
      <c r="M61" t="n">
        <v>11</v>
      </c>
      <c r="N61" t="n">
        <v>11</v>
      </c>
      <c r="O61" t="n">
        <v>11</v>
      </c>
      <c r="P61" s="33" t="inlineStr">
        <is>
          <t>3 rangs</t>
        </is>
      </c>
      <c r="Q61" s="33" t="inlineStr">
        <is>
          <t>3 rangs</t>
        </is>
      </c>
    </row>
  </sheetData>
  <mergeCells count="10">
    <mergeCell ref="A1:J1"/>
    <mergeCell ref="A26:A34"/>
    <mergeCell ref="A57:A61"/>
    <mergeCell ref="A43:A48"/>
    <mergeCell ref="A8:A14"/>
    <mergeCell ref="A21:A24"/>
    <mergeCell ref="A50:A55"/>
    <mergeCell ref="A4:J4"/>
    <mergeCell ref="A36:A41"/>
    <mergeCell ref="A16:A19"/>
  </mergeCells>
  <dataValidations count="1">
    <dataValidation sqref="D3" showDropDown="0" showInputMessage="0" showErrorMessage="0" allowBlank="0" type="list">
      <formula1>"Agrosemens,Bio-intensif"</formula1>
    </dataValidation>
  </dataValidation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tabSelected="1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10" defaultRowHeight="15"/>
  <cols>
    <col width="22" customWidth="1" style="38" min="1" max="2"/>
    <col width="22" customWidth="1" style="38" min="2" max="2"/>
    <col width="16" customWidth="1" style="38" min="3" max="5"/>
    <col width="16" customWidth="1" style="38" min="4" max="4"/>
    <col width="16" customWidth="1" style="38" min="5" max="5"/>
    <col width="18" customWidth="1" style="38" min="6" max="8"/>
    <col width="50" customWidth="1" style="38" min="7" max="7"/>
    <col width="28" customWidth="1" style="38" min="8" max="8"/>
    <col width="35" customWidth="1" style="38" min="9" max="9"/>
    <col hidden="1" width="50" customWidth="1" style="38" min="10" max="10"/>
    <col hidden="1" width="28" customWidth="1" style="38" min="11" max="11"/>
    <col hidden="1" width="35" customWidth="1" style="38" min="12" max="12"/>
    <col hidden="1" width="13" customWidth="1" style="38" min="13" max="20"/>
    <col hidden="1" width="13" customWidth="1" style="38" min="14" max="14"/>
    <col hidden="1" width="13" customWidth="1" style="38" min="15" max="15"/>
    <col hidden="1" width="13" customWidth="1" style="38" min="16" max="16"/>
    <col hidden="1" width="13" customWidth="1" style="38" min="17" max="17"/>
    <col hidden="1" width="13" customWidth="1" style="38" min="18" max="18"/>
    <col hidden="1" width="13" customWidth="1" style="38" min="19" max="19"/>
    <col hidden="1" width="13" customWidth="1" style="38" min="20" max="20"/>
  </cols>
  <sheetData>
    <row r="1" ht="32" customHeight="1" s="38">
      <c r="A1" s="77" t="inlineStr">
        <is>
          <t>🌾 CALCULATEUR DE FERTILISATION PAR PLANCHE MARAÎCHÈRE</t>
        </is>
      </c>
    </row>
    <row r="2" ht="28" customHeight="1" s="38">
      <c r="A2" s="78" t="inlineStr">
        <is>
          <t>Longueur planche</t>
        </is>
      </c>
      <c r="B2" s="78" t="inlineStr">
        <is>
          <t>Largeur planche</t>
        </is>
      </c>
      <c r="C2" s="78" t="inlineStr">
        <is>
          <t>Surface planche</t>
        </is>
      </c>
      <c r="G2" s="30" t="n"/>
    </row>
    <row r="3" ht="30" customHeight="1" s="38">
      <c r="A3" s="100">
        <f>IFERROR('Densité plantation-nb plants'!A3,"—")</f>
        <v/>
      </c>
      <c r="B3" s="100">
        <f>IFERROR('Densité plantation-nb plants'!B3,"—")</f>
        <v/>
      </c>
      <c r="C3" s="101">
        <f>IFERROR('Densité plantation-nb plants'!C3,"—")</f>
        <v/>
      </c>
      <c r="G3" s="31" t="n"/>
    </row>
    <row r="4" ht="22" customHeight="1" s="38">
      <c r="A4" s="73" t="inlineStr">
        <is>
          <t>👉 Les dimensions de planche sont LIÉES à l'onglet "Densité plantation-nb plants" (cases bleues = lecture seule). Pour les modifier, retourne sur l'autre onglet.</t>
        </is>
      </c>
    </row>
    <row r="5" ht="38.25" customHeight="1" s="38"/>
    <row r="6" ht="38.25" customHeight="1" s="38"/>
    <row r="7" ht="38" customHeight="1" s="38">
      <c r="A7" s="81" t="inlineStr">
        <is>
          <t>Familles</t>
        </is>
      </c>
      <c r="B7" s="81" t="inlineStr">
        <is>
          <t>Espèce</t>
        </is>
      </c>
      <c r="C7" s="81" t="inlineStr">
        <is>
          <t>N total planche (g)</t>
        </is>
      </c>
      <c r="D7" s="81" t="inlineStr">
        <is>
          <t>P total planche (g)</t>
        </is>
      </c>
      <c r="E7" s="81" t="inlineStr">
        <is>
          <t>K total planche (g)</t>
        </is>
      </c>
      <c r="F7" s="81" t="inlineStr">
        <is>
          <t>Compost planche (kg)</t>
        </is>
      </c>
      <c r="G7" s="81" t="inlineStr">
        <is>
          <t>Fertilisation (NPK / amendement)</t>
        </is>
      </c>
      <c r="H7" s="81" t="inlineStr">
        <is>
          <t xml:space="preserve">Compost </t>
        </is>
      </c>
      <c r="I7" s="81" t="inlineStr">
        <is>
          <t>Commentaires</t>
        </is>
      </c>
      <c r="J7" s="27" t="inlineStr">
        <is>
          <t>N_min</t>
        </is>
      </c>
      <c r="K7" s="27" t="inlineStr">
        <is>
          <t>N_max</t>
        </is>
      </c>
      <c r="L7" s="27" t="inlineStr">
        <is>
          <t>P_min</t>
        </is>
      </c>
      <c r="M7" s="27" t="inlineStr">
        <is>
          <t>P_max</t>
        </is>
      </c>
      <c r="N7" s="27" t="inlineStr">
        <is>
          <t>K_min</t>
        </is>
      </c>
      <c r="O7" s="27" t="inlineStr">
        <is>
          <t>K_max</t>
        </is>
      </c>
      <c r="P7" s="27" t="inlineStr">
        <is>
          <t>Comp_min</t>
        </is>
      </c>
      <c r="Q7" s="27" t="inlineStr">
        <is>
          <t>Comp_max</t>
        </is>
      </c>
    </row>
    <row r="8" ht="30" customHeight="1" s="38">
      <c r="A8" s="78" t="inlineStr">
        <is>
          <t>Curcubitacées</t>
        </is>
      </c>
      <c r="B8" s="64" t="inlineStr">
        <is>
          <t>Courge</t>
        </is>
      </c>
      <c r="C8" s="83">
        <f>IFERROR(IF(J8=K8,ROUND($C$3*J8/10,0),ROUND($C$3*J8/10,0)&amp;"–"&amp;ROUND($C$3*K8/10,0)),"—")</f>
        <v/>
      </c>
      <c r="D8" s="83">
        <f>IFERROR(IF(L8=M8,ROUND($C$3*L8/10,0),ROUND($C$3*L8/10,0)&amp;"–"&amp;ROUND($C$3*M8/10,0)),"—")</f>
        <v/>
      </c>
      <c r="E8" s="83">
        <f>IFERROR(IF(N8=O8,ROUND($C$3*N8/10,0),ROUND($C$3*N8/10,0)&amp;"–"&amp;ROUND($C$3*O8/10,0)),"—")</f>
        <v/>
      </c>
      <c r="F8" s="84">
        <f>IFERROR(IF(P8=Q8,ROUND($C$3*P8/10,1),ROUND($C$3*P8/10,1)&amp;"–"&amp;ROUND($C$3*Q8/10,1)),"—")</f>
        <v/>
      </c>
      <c r="G8" s="85" t="inlineStr">
        <is>
          <t>N 120 / P 60 / K 100 U/ha</t>
        </is>
      </c>
      <c r="H8" s="66" t="inlineStr">
        <is>
          <t xml:space="preserve">30–40 t/ha fumier composté </t>
        </is>
      </c>
      <c r="I8" s="66" t="inlineStr">
        <is>
          <t>éviter excès d'azote (gêne conservation)</t>
        </is>
      </c>
      <c r="J8" t="n">
        <v>120</v>
      </c>
      <c r="K8" t="n">
        <v>120</v>
      </c>
      <c r="L8" t="n">
        <v>60</v>
      </c>
      <c r="M8" t="n">
        <v>60</v>
      </c>
      <c r="N8" t="n">
        <v>100</v>
      </c>
      <c r="O8" t="n">
        <v>100</v>
      </c>
      <c r="P8" t="n">
        <v>30</v>
      </c>
      <c r="Q8" t="n">
        <v>40</v>
      </c>
    </row>
    <row r="9" ht="30" customHeight="1" s="38">
      <c r="A9" s="96" t="n"/>
      <c r="B9" s="64" t="inlineStr">
        <is>
          <t>Potiron</t>
        </is>
      </c>
      <c r="C9" s="83">
        <f>IFERROR(IF(J9=K9,ROUND($C$3*J9/10,0),ROUND($C$3*J9/10,0)&amp;"–"&amp;ROUND($C$3*K9/10,0)),"—")</f>
        <v/>
      </c>
      <c r="D9" s="83">
        <f>IFERROR(IF(L9=M9,ROUND($C$3*L9/10,0),ROUND($C$3*L9/10,0)&amp;"–"&amp;ROUND($C$3*M9/10,0)),"—")</f>
        <v/>
      </c>
      <c r="E9" s="83">
        <f>IFERROR(IF(N9=O9,ROUND($C$3*N9/10,0),ROUND($C$3*N9/10,0)&amp;"–"&amp;ROUND($C$3*O9/10,0)),"—")</f>
        <v/>
      </c>
      <c r="F9" s="84">
        <f>IFERROR(IF(P9=Q9,ROUND($C$3*P9/10,1),ROUND($C$3*P9/10,1)&amp;"–"&amp;ROUND($C$3*Q9/10,1)),"—")</f>
        <v/>
      </c>
      <c r="G9" s="86" t="inlineStr">
        <is>
          <t>N 120 / P 60 / K 100 U/ha</t>
        </is>
      </c>
      <c r="H9" s="66" t="inlineStr">
        <is>
          <t>30–40 t/ha fumier composté</t>
        </is>
      </c>
      <c r="I9" s="66" t="n"/>
      <c r="J9" t="n">
        <v>120</v>
      </c>
      <c r="K9" t="n">
        <v>120</v>
      </c>
      <c r="L9" t="n">
        <v>60</v>
      </c>
      <c r="M9" t="n">
        <v>60</v>
      </c>
      <c r="N9" t="n">
        <v>100</v>
      </c>
      <c r="O9" t="n">
        <v>100</v>
      </c>
      <c r="P9" t="n">
        <v>30</v>
      </c>
      <c r="Q9" t="n">
        <v>40</v>
      </c>
    </row>
    <row r="10" ht="30" customHeight="1" s="38">
      <c r="A10" s="96" t="n"/>
      <c r="B10" s="64" t="inlineStr">
        <is>
          <t>Potimarron</t>
        </is>
      </c>
      <c r="C10" s="83">
        <f>IFERROR(IF(J10=K10,ROUND($C$3*J10/10,0),ROUND($C$3*J10/10,0)&amp;"–"&amp;ROUND($C$3*K10/10,0)),"—")</f>
        <v/>
      </c>
      <c r="D10" s="83">
        <f>IFERROR(IF(L10=M10,ROUND($C$3*L10/10,0),ROUND($C$3*L10/10,0)&amp;"–"&amp;ROUND($C$3*M10/10,0)),"—")</f>
        <v/>
      </c>
      <c r="E10" s="83">
        <f>IFERROR(IF(N10=O10,ROUND($C$3*N10/10,0),ROUND($C$3*N10/10,0)&amp;"–"&amp;ROUND($C$3*O10/10,0)),"—")</f>
        <v/>
      </c>
      <c r="F10" s="84">
        <f>IFERROR(IF(P10=Q10,ROUND($C$3*P10/10,1),ROUND($C$3*P10/10,1)&amp;"–"&amp;ROUND($C$3*Q10/10,1)),"—")</f>
        <v/>
      </c>
      <c r="G10" s="85" t="inlineStr">
        <is>
          <t>N 120 / P 60 / K 100 U/ha</t>
        </is>
      </c>
      <c r="H10" s="66" t="inlineStr">
        <is>
          <t>30–40 t/ha fumier composté</t>
        </is>
      </c>
      <c r="I10" s="66" t="n"/>
      <c r="J10" t="n">
        <v>120</v>
      </c>
      <c r="K10" t="n">
        <v>120</v>
      </c>
      <c r="L10" t="n">
        <v>60</v>
      </c>
      <c r="M10" t="n">
        <v>60</v>
      </c>
      <c r="N10" t="n">
        <v>100</v>
      </c>
      <c r="O10" t="n">
        <v>100</v>
      </c>
      <c r="P10" t="n">
        <v>30</v>
      </c>
      <c r="Q10" t="n">
        <v>40</v>
      </c>
    </row>
    <row r="11" ht="30" customHeight="1" s="38">
      <c r="A11" s="96" t="n"/>
      <c r="B11" s="64" t="inlineStr">
        <is>
          <t>Courgette</t>
        </is>
      </c>
      <c r="C11" s="83">
        <f>IFERROR(IF(J11=K11,ROUND($C$3*J11/10,0),ROUND($C$3*J11/10,0)&amp;"–"&amp;ROUND($C$3*K11/10,0)),"—")</f>
        <v/>
      </c>
      <c r="D11" s="83">
        <f>IFERROR(IF(L11=M11,ROUND($C$3*L11/10,0),ROUND($C$3*L11/10,0)&amp;"–"&amp;ROUND($C$3*M11/10,0)),"—")</f>
        <v/>
      </c>
      <c r="E11" s="83">
        <f>IFERROR(IF(N11=O11,ROUND($C$3*N11/10,0),ROUND($C$3*N11/10,0)&amp;"–"&amp;ROUND($C$3*O11/10,0)),"—")</f>
        <v/>
      </c>
      <c r="F11" s="84">
        <f>IFERROR(IF(P11=Q11,ROUND($C$3*P11/10,1),ROUND($C$3*P11/10,1)&amp;"–"&amp;ROUND($C$3*Q11/10,1)),"—")</f>
        <v/>
      </c>
      <c r="G11" s="85" t="inlineStr">
        <is>
          <t xml:space="preserve">N 220 / P 110 / K 100 U/ha </t>
        </is>
      </c>
      <c r="H11" s="66" t="inlineStr">
        <is>
          <t>20–30 t/ha compost demi-mûr</t>
        </is>
      </c>
      <c r="I11" s="66" t="inlineStr">
        <is>
          <t>(très gourmande)</t>
        </is>
      </c>
      <c r="J11" t="n">
        <v>220</v>
      </c>
      <c r="K11" t="n">
        <v>220</v>
      </c>
      <c r="L11" t="n">
        <v>110</v>
      </c>
      <c r="M11" t="n">
        <v>110</v>
      </c>
      <c r="N11" t="n">
        <v>100</v>
      </c>
      <c r="O11" t="n">
        <v>100</v>
      </c>
      <c r="P11" t="n">
        <v>20</v>
      </c>
      <c r="Q11" t="n">
        <v>30</v>
      </c>
    </row>
    <row r="12" ht="30" customHeight="1" s="38">
      <c r="A12" s="96" t="n"/>
      <c r="B12" s="64" t="inlineStr">
        <is>
          <t>Concombre</t>
        </is>
      </c>
      <c r="C12" s="83" t="n">
        <v>0</v>
      </c>
      <c r="D12" s="83" t="n">
        <v>0</v>
      </c>
      <c r="E12" s="83" t="n">
        <v>0</v>
      </c>
      <c r="F12" s="84">
        <f>IFERROR(IF(P12=Q12,ROUND($C$3*P12/10,1),ROUND($C$3*P12/10,1)&amp;"–"&amp;ROUND($C$3*Q12/10,1)),"—")</f>
        <v/>
      </c>
      <c r="G12" s="85" t="inlineStr">
        <is>
          <t>Gourmand N/P/K</t>
        </is>
      </c>
      <c r="H12" s="66" t="inlineStr">
        <is>
          <t>fumure de fond 20–30 t/ha fumier composté ; supporte fumier frais en fond de trou</t>
        </is>
      </c>
      <c r="I12" s="85" t="inlineStr">
        <is>
          <t>Gourmand N/P/K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</v>
      </c>
      <c r="Q12" t="n">
        <v>30</v>
      </c>
    </row>
    <row r="13" ht="30" customHeight="1" s="38">
      <c r="A13" s="96" t="n"/>
      <c r="B13" s="64" t="inlineStr">
        <is>
          <t>Melon</t>
        </is>
      </c>
      <c r="C13" s="83">
        <f>IFERROR(IF(J13=K13,ROUND($C$3*J13/10,0),ROUND($C$3*J13/10,0)&amp;"–"&amp;ROUND($C$3*K13/10,0)),"—")</f>
        <v/>
      </c>
      <c r="D13" s="83">
        <f>IFERROR(IF(L13=M13,ROUND($C$3*L13/10,0),ROUND($C$3*L13/10,0)&amp;"–"&amp;ROUND($C$3*M13/10,0)),"—")</f>
        <v/>
      </c>
      <c r="E13" s="83">
        <f>IFERROR(IF(N13=O13,ROUND($C$3*N13/10,0),ROUND($C$3*N13/10,0)&amp;"–"&amp;ROUND($C$3*O13/10,0)),"—")</f>
        <v/>
      </c>
      <c r="F13" s="84" t="inlineStr">
        <is>
          <t>n.c.</t>
        </is>
      </c>
      <c r="G13" s="85" t="inlineStr">
        <is>
          <t>PC : N 80–100 / P 80–100 / K 100–150 U/ha ; Abri : N 120–150 / P 100–150 / K 150–220 U/ha</t>
        </is>
      </c>
      <c r="H13" s="66" t="inlineStr">
        <is>
          <t>tourteau de ricin + patenkali</t>
        </is>
      </c>
      <c r="I13" s="66" t="n"/>
      <c r="J13" t="n">
        <v>80</v>
      </c>
      <c r="K13" t="n">
        <v>150</v>
      </c>
      <c r="L13" t="n">
        <v>80</v>
      </c>
      <c r="M13" t="n">
        <v>150</v>
      </c>
      <c r="N13" t="n">
        <v>100</v>
      </c>
      <c r="O13" t="n">
        <v>220</v>
      </c>
      <c r="P13" t="n">
        <v>0</v>
      </c>
      <c r="Q13" t="n">
        <v>0</v>
      </c>
    </row>
    <row r="14" ht="30" customHeight="1" s="38">
      <c r="A14" s="97" t="n"/>
      <c r="B14" s="64" t="inlineStr">
        <is>
          <t>Pastèque</t>
        </is>
      </c>
      <c r="C14" s="83">
        <f>IFERROR(IF(J14=K14,ROUND($C$3*J14/10,0),ROUND($C$3*J14/10,0)&amp;"–"&amp;ROUND($C$3*K14/10,0)),"—")</f>
        <v/>
      </c>
      <c r="D14" s="83">
        <f>IFERROR(IF(L14=M14,ROUND($C$3*L14/10,0),ROUND($C$3*L14/10,0)&amp;"–"&amp;ROUND($C$3*M14/10,0)),"—")</f>
        <v/>
      </c>
      <c r="E14" s="83">
        <f>IFERROR(IF(N14=O14,ROUND($C$3*N14/10,0),ROUND($C$3*N14/10,0)&amp;"–"&amp;ROUND($C$3*O14/10,0)),"—")</f>
        <v/>
      </c>
      <c r="F14" s="84">
        <f>IFERROR(IF(P14=Q14,ROUND($C$3*P14/10,1),ROUND($C$3*P14/10,1)&amp;"–"&amp;ROUND($C$3*Q14/10,1)),"—")</f>
        <v/>
      </c>
      <c r="G14" s="85" t="inlineStr">
        <is>
          <t>PC : N 80–100 / P 80–100 / K 100–150 U/ha ; Abri : N 120–150 / P 100–150 / K 150–220 U/ha</t>
        </is>
      </c>
      <c r="H14" s="66" t="inlineStr">
        <is>
          <t>fumier composté 20–30 t/ha</t>
        </is>
      </c>
      <c r="I14" s="66" t="n"/>
      <c r="J14" t="n">
        <v>80</v>
      </c>
      <c r="K14" t="n">
        <v>100</v>
      </c>
      <c r="L14" t="n">
        <v>80</v>
      </c>
      <c r="M14" t="n">
        <v>100</v>
      </c>
      <c r="N14" t="n">
        <v>150</v>
      </c>
      <c r="O14" t="n">
        <v>150</v>
      </c>
      <c r="P14" t="n">
        <v>20</v>
      </c>
      <c r="Q14" t="n">
        <v>30</v>
      </c>
    </row>
    <row r="15" ht="8" customHeight="1" s="38">
      <c r="A15" s="37" t="n"/>
      <c r="B15" s="37" t="n"/>
      <c r="G15" s="10" t="n"/>
      <c r="H15" s="34" t="n"/>
      <c r="I15" s="34" t="n"/>
    </row>
    <row r="16" ht="30" customHeight="1" s="38">
      <c r="A16" s="78" t="inlineStr">
        <is>
          <t>Solanacées</t>
        </is>
      </c>
      <c r="B16" s="64" t="inlineStr">
        <is>
          <t>Tomate</t>
        </is>
      </c>
      <c r="C16" s="83">
        <f>IFERROR(IF(J16=K16,ROUND($C$3*J16/10,0),ROUND($C$3*J16/10,0)&amp;"–"&amp;ROUND($C$3*K16/10,0)),"—")</f>
        <v/>
      </c>
      <c r="D16" s="83">
        <f>IFERROR(IF(L16=M16,ROUND($C$3*L16/10,0),ROUND($C$3*L16/10,0)&amp;"–"&amp;ROUND($C$3*M16/10,0)),"—")</f>
        <v/>
      </c>
      <c r="E16" s="83">
        <f>IFERROR(IF(N16=O16,ROUND($C$3*N16/10,0),ROUND($C$3*N16/10,0)&amp;"–"&amp;ROUND($C$3*O16/10,0)),"—")</f>
        <v/>
      </c>
      <c r="F16" s="84">
        <f>IFERROR(IF(P16=Q16,ROUND($C$3*P16/10,1),ROUND($C$3*P16/10,1)&amp;"–"&amp;ROUND($C$3*Q16/10,1)),"—")</f>
        <v/>
      </c>
      <c r="G16" s="85" t="inlineStr">
        <is>
          <t xml:space="preserve">N 200 / P 100 / K 300 U/ha </t>
        </is>
      </c>
      <c r="H16" s="66" t="inlineStr">
        <is>
          <t>20–30 t/ha fumier mûr OU 5 t/ha compost du commerce</t>
        </is>
      </c>
      <c r="I16" s="66" t="inlineStr">
        <is>
          <t>(gourmande)</t>
        </is>
      </c>
      <c r="J16" t="n">
        <v>200</v>
      </c>
      <c r="K16" t="n">
        <v>200</v>
      </c>
      <c r="L16" t="n">
        <v>100</v>
      </c>
      <c r="M16" t="n">
        <v>100</v>
      </c>
      <c r="N16" t="n">
        <v>300</v>
      </c>
      <c r="O16" t="n">
        <v>300</v>
      </c>
      <c r="P16" t="n">
        <v>20</v>
      </c>
      <c r="Q16" t="n">
        <v>30</v>
      </c>
    </row>
    <row r="17" ht="30" customHeight="1" s="38">
      <c r="A17" s="96" t="n"/>
      <c r="B17" s="64" t="inlineStr">
        <is>
          <t>Aubergine</t>
        </is>
      </c>
      <c r="C17" s="83">
        <f>IFERROR(IF(J17=K17,ROUND($C$3*J17/10,0),ROUND($C$3*J17/10,0)&amp;"–"&amp;ROUND($C$3*K17/10,0)),"—")</f>
        <v/>
      </c>
      <c r="D17" s="83">
        <f>IFERROR(IF(L17=M17,ROUND($C$3*L17/10,0),ROUND($C$3*L17/10,0)&amp;"–"&amp;ROUND($C$3*M17/10,0)),"—")</f>
        <v/>
      </c>
      <c r="E17" s="83">
        <f>IFERROR(IF(N17=O17,ROUND($C$3*N17/10,0),ROUND($C$3*N17/10,0)&amp;"–"&amp;ROUND($C$3*O17/10,0)),"—")</f>
        <v/>
      </c>
      <c r="F17" s="84">
        <f>IFERROR(IF(P17=Q17,ROUND($C$3*P17/10,1),ROUND($C$3*P17/10,1)&amp;"–"&amp;ROUND($C$3*Q17/10,1)),"—")</f>
        <v/>
      </c>
      <c r="G17" s="85" t="inlineStr">
        <is>
          <t>N 200 / P 50 / K 200 U/ha</t>
        </is>
      </c>
      <c r="H17" s="66" t="inlineStr">
        <is>
          <t>30–40 t/ha compost mûr</t>
        </is>
      </c>
      <c r="I17" s="66" t="n"/>
      <c r="J17" t="n">
        <v>200</v>
      </c>
      <c r="K17" t="n">
        <v>200</v>
      </c>
      <c r="L17" t="n">
        <v>50</v>
      </c>
      <c r="M17" t="n">
        <v>50</v>
      </c>
      <c r="N17" t="n">
        <v>200</v>
      </c>
      <c r="O17" t="n">
        <v>200</v>
      </c>
      <c r="P17" t="n">
        <v>30</v>
      </c>
      <c r="Q17" t="n">
        <v>40</v>
      </c>
    </row>
    <row r="18" ht="30" customHeight="1" s="38">
      <c r="A18" s="96" t="n"/>
      <c r="B18" s="64" t="inlineStr">
        <is>
          <t>Poivron</t>
        </is>
      </c>
      <c r="C18" s="83">
        <f>IFERROR(IF(J18=K18,ROUND($C$3*J18/10,0),ROUND($C$3*J18/10,0)&amp;"–"&amp;ROUND($C$3*K18/10,0)),"—")</f>
        <v/>
      </c>
      <c r="D18" s="83">
        <f>IFERROR(IF(L18=M18,ROUND($C$3*L18/10,0),ROUND($C$3*L18/10,0)&amp;"–"&amp;ROUND($C$3*M18/10,0)),"—")</f>
        <v/>
      </c>
      <c r="E18" s="83">
        <f>IFERROR(IF(N18=O18,ROUND($C$3*N18/10,0),ROUND($C$3*N18/10,0)&amp;"–"&amp;ROUND($C$3*O18/10,0)),"—")</f>
        <v/>
      </c>
      <c r="F18" s="84">
        <f>IFERROR(IF(P18=Q18,ROUND($C$3*P18/10,1),ROUND($C$3*P18/10,1)&amp;"–"&amp;ROUND($C$3*Q18/10,1)),"—")</f>
        <v/>
      </c>
      <c r="G18" s="85" t="inlineStr">
        <is>
          <t>N 130 / P 150 / K 270 U/ha</t>
        </is>
      </c>
      <c r="H18" s="66" t="inlineStr">
        <is>
          <t>50 t/ha fumier</t>
        </is>
      </c>
      <c r="I18" s="66" t="n"/>
      <c r="J18" t="n">
        <v>130</v>
      </c>
      <c r="K18" t="n">
        <v>130</v>
      </c>
      <c r="L18" t="n">
        <v>150</v>
      </c>
      <c r="M18" t="n">
        <v>150</v>
      </c>
      <c r="N18" t="n">
        <v>270</v>
      </c>
      <c r="O18" t="n">
        <v>270</v>
      </c>
      <c r="P18" t="n">
        <v>50</v>
      </c>
      <c r="Q18" t="n">
        <v>50</v>
      </c>
    </row>
    <row r="19" ht="30" customHeight="1" s="38">
      <c r="A19" s="97" t="n"/>
      <c r="B19" s="64" t="inlineStr">
        <is>
          <t>Piment</t>
        </is>
      </c>
      <c r="C19" s="83">
        <f>IFERROR(IF(J19=K19,ROUND($C$3*J19/10,0),ROUND($C$3*J19/10,0)&amp;"–"&amp;ROUND($C$3*K19/10,0)),"—")</f>
        <v/>
      </c>
      <c r="D19" s="83">
        <f>IFERROR(IF(L19=M19,ROUND($C$3*L19/10,0),ROUND($C$3*L19/10,0)&amp;"–"&amp;ROUND($C$3*M19/10,0)),"—")</f>
        <v/>
      </c>
      <c r="E19" s="83">
        <f>IFERROR(IF(N19=O19,ROUND($C$3*N19/10,0),ROUND($C$3*N19/10,0)&amp;"–"&amp;ROUND($C$3*O19/10,0)),"—")</f>
        <v/>
      </c>
      <c r="F19" s="84">
        <f>IFERROR(IF(P19=Q19,ROUND($C$3*P19/10,1),ROUND($C$3*P19/10,1)&amp;"–"&amp;ROUND($C$3*Q19/10,1)),"—")</f>
        <v/>
      </c>
      <c r="G19" s="85" t="inlineStr">
        <is>
          <t>N 130 / P 150 / K 270 U/ha</t>
        </is>
      </c>
      <c r="H19" s="66" t="inlineStr">
        <is>
          <t>50 t/ha fumier</t>
        </is>
      </c>
      <c r="I19" s="66" t="n"/>
      <c r="J19" t="n">
        <v>130</v>
      </c>
      <c r="K19" t="n">
        <v>130</v>
      </c>
      <c r="L19" t="n">
        <v>150</v>
      </c>
      <c r="M19" t="n">
        <v>150</v>
      </c>
      <c r="N19" t="n">
        <v>270</v>
      </c>
      <c r="O19" t="n">
        <v>270</v>
      </c>
      <c r="P19" t="n">
        <v>50</v>
      </c>
      <c r="Q19" t="n">
        <v>50</v>
      </c>
    </row>
    <row r="20" ht="8" customHeight="1" s="38">
      <c r="A20" s="37" t="n"/>
      <c r="B20" s="37" t="n"/>
      <c r="G20" s="12" t="n"/>
      <c r="H20" s="34" t="n"/>
      <c r="I20" s="34" t="n"/>
    </row>
    <row r="21" ht="30" customHeight="1" s="38">
      <c r="A21" s="78" t="inlineStr">
        <is>
          <t>Alliacées</t>
        </is>
      </c>
      <c r="B21" s="64" t="inlineStr">
        <is>
          <t>Poireau</t>
        </is>
      </c>
      <c r="C21" s="83">
        <f>IFERROR(IF(J21=K21,ROUND($C$3*J21/10,0),ROUND($C$3*J21/10,0)&amp;"–"&amp;ROUND($C$3*K21/10,0)),"—")</f>
        <v/>
      </c>
      <c r="D21" s="83">
        <f>IFERROR(IF(L21=M21,ROUND($C$3*L21/10,0),ROUND($C$3*L21/10,0)&amp;"–"&amp;ROUND($C$3*M21/10,0)),"—")</f>
        <v/>
      </c>
      <c r="E21" s="83">
        <f>IFERROR(IF(N21=O21,ROUND($C$3*N21/10,0),ROUND($C$3*N21/10,0)&amp;"–"&amp;ROUND($C$3*O21/10,0)),"—")</f>
        <v/>
      </c>
      <c r="F21" s="84">
        <f>IFERROR(IF(P21=Q21,ROUND($C$3*P21/10,1),ROUND($C$3*P21/10,1)&amp;"–"&amp;ROUND($C$3*Q21/10,1)),"—")</f>
        <v/>
      </c>
      <c r="G21" s="87" t="inlineStr">
        <is>
          <t>N 200 / P 80 / K 250 U/ha</t>
        </is>
      </c>
      <c r="H21" s="66" t="inlineStr">
        <is>
          <t>40–50 t/ha fumier bovin décomposé</t>
        </is>
      </c>
      <c r="I21" s="66" t="n"/>
      <c r="J21" t="n">
        <v>200</v>
      </c>
      <c r="K21" t="n">
        <v>200</v>
      </c>
      <c r="L21" t="n">
        <v>80</v>
      </c>
      <c r="M21" t="n">
        <v>80</v>
      </c>
      <c r="N21" t="n">
        <v>250</v>
      </c>
      <c r="O21" t="n">
        <v>250</v>
      </c>
      <c r="P21" t="n">
        <v>40</v>
      </c>
      <c r="Q21" t="n">
        <v>50</v>
      </c>
    </row>
    <row r="22" ht="30" customHeight="1" s="38">
      <c r="A22" s="96" t="n"/>
      <c r="B22" s="64" t="inlineStr">
        <is>
          <t>Oignon</t>
        </is>
      </c>
      <c r="C22" s="83">
        <f>IFERROR(IF(J22=K22,ROUND($C$3*J22/10,0),ROUND($C$3*J22/10,0)&amp;"–"&amp;ROUND($C$3*K22/10,0)),"—")</f>
        <v/>
      </c>
      <c r="D22" s="83">
        <f>IFERROR(IF(L22=M22,ROUND($C$3*L22/10,0),ROUND($C$3*L22/10,0)&amp;"–"&amp;ROUND($C$3*M22/10,0)),"—")</f>
        <v/>
      </c>
      <c r="E22" s="83">
        <f>IFERROR(IF(N22=O22,ROUND($C$3*N22/10,0),ROUND($C$3*N22/10,0)&amp;"–"&amp;ROUND($C$3*O22/10,0)),"—")</f>
        <v/>
      </c>
      <c r="F22" s="84" t="inlineStr">
        <is>
          <t>n.c.</t>
        </is>
      </c>
      <c r="G22" s="85" t="inlineStr">
        <is>
          <t xml:space="preserve">N 100 / P 70 / K 120 U/ha </t>
        </is>
      </c>
      <c r="H22" s="66" t="inlineStr">
        <is>
          <t>engrais organique OU compost bien mûr</t>
        </is>
      </c>
      <c r="I22" s="66" t="inlineStr">
        <is>
          <t>ÉVITER fumure fraîche ou excès N (favorise maladies)</t>
        </is>
      </c>
      <c r="J22" t="n">
        <v>100</v>
      </c>
      <c r="K22" t="n">
        <v>100</v>
      </c>
      <c r="L22" t="n">
        <v>70</v>
      </c>
      <c r="M22" t="n">
        <v>70</v>
      </c>
      <c r="N22" t="n">
        <v>120</v>
      </c>
      <c r="O22" t="n">
        <v>120</v>
      </c>
      <c r="P22" t="n">
        <v>0</v>
      </c>
      <c r="Q22" t="n">
        <v>0</v>
      </c>
    </row>
    <row r="23" ht="30" customHeight="1" s="38">
      <c r="A23" s="96" t="n"/>
      <c r="B23" s="64" t="inlineStr">
        <is>
          <t>Ciboule</t>
        </is>
      </c>
      <c r="C23" s="83">
        <f>IFERROR(IF(J23=K23,ROUND($C$3*J23/10,0),ROUND($C$3*J23/10,0)&amp;"–"&amp;ROUND($C$3*K23/10,0)),"—")</f>
        <v/>
      </c>
      <c r="D23" s="83">
        <f>IFERROR(IF(L23=M23,ROUND($C$3*L23/10,0),ROUND($C$3*L23/10,0)&amp;"–"&amp;ROUND($C$3*M23/10,0)),"—")</f>
        <v/>
      </c>
      <c r="E23" s="83">
        <f>IFERROR(IF(N23=O23,ROUND($C$3*N23/10,0),ROUND($C$3*N23/10,0)&amp;"–"&amp;ROUND($C$3*O23/10,0)),"—")</f>
        <v/>
      </c>
      <c r="F23" s="84" t="inlineStr">
        <is>
          <t>n.c.</t>
        </is>
      </c>
      <c r="G23" s="85" t="inlineStr">
        <is>
          <t>N 100 / P 70 / K 120 U/ha</t>
        </is>
      </c>
      <c r="H23" s="66" t="inlineStr">
        <is>
          <t>engrais organique bien mûr</t>
        </is>
      </c>
      <c r="I23" s="66" t="n"/>
      <c r="J23" t="n">
        <v>100</v>
      </c>
      <c r="K23" t="n">
        <v>100</v>
      </c>
      <c r="L23" t="n">
        <v>70</v>
      </c>
      <c r="M23" t="n">
        <v>70</v>
      </c>
      <c r="N23" t="n">
        <v>120</v>
      </c>
      <c r="O23" t="n">
        <v>120</v>
      </c>
      <c r="P23" t="n">
        <v>0</v>
      </c>
      <c r="Q23" t="n">
        <v>0</v>
      </c>
    </row>
    <row r="24" ht="30" customHeight="1" s="38">
      <c r="A24" s="97" t="n"/>
      <c r="B24" s="64" t="inlineStr">
        <is>
          <t>Échalote (semis)</t>
        </is>
      </c>
      <c r="C24" s="83">
        <f>IFERROR(IF(J24=K24,ROUND($C$3*J24/10,0),ROUND($C$3*J24/10,0)&amp;"–"&amp;ROUND($C$3*K24/10,0)),"—")</f>
        <v/>
      </c>
      <c r="D24" s="83">
        <f>IFERROR(IF(L24=M24,ROUND($C$3*L24/10,0),ROUND($C$3*L24/10,0)&amp;"–"&amp;ROUND($C$3*M24/10,0)),"—")</f>
        <v/>
      </c>
      <c r="E24" s="83">
        <f>IFERROR(IF(N24=O24,ROUND($C$3*N24/10,0),ROUND($C$3*N24/10,0)&amp;"–"&amp;ROUND($C$3*O24/10,0)),"—")</f>
        <v/>
      </c>
      <c r="F24" s="84" t="inlineStr">
        <is>
          <t>n.c.</t>
        </is>
      </c>
      <c r="G24" s="85" t="inlineStr">
        <is>
          <t xml:space="preserve"> N 100 / P 70 / K 120 U/ha</t>
        </is>
      </c>
      <c r="H24" s="66" t="inlineStr">
        <is>
          <t>engrais organique bien mûr</t>
        </is>
      </c>
      <c r="I24" s="66" t="n"/>
      <c r="J24" t="n">
        <v>100</v>
      </c>
      <c r="K24" t="n">
        <v>100</v>
      </c>
      <c r="L24" t="n">
        <v>70</v>
      </c>
      <c r="M24" t="n">
        <v>70</v>
      </c>
      <c r="N24" t="n">
        <v>120</v>
      </c>
      <c r="O24" t="n">
        <v>120</v>
      </c>
      <c r="P24" t="n">
        <v>0</v>
      </c>
      <c r="Q24" t="n">
        <v>0</v>
      </c>
    </row>
    <row r="25" ht="8" customHeight="1" s="38">
      <c r="A25" s="37" t="n"/>
      <c r="B25" s="37" t="n"/>
      <c r="G25" s="10" t="n"/>
      <c r="H25" s="34" t="n"/>
      <c r="I25" s="34" t="n"/>
    </row>
    <row r="26" ht="30" customHeight="1" s="38">
      <c r="A26" s="78" t="inlineStr">
        <is>
          <t>Choux &amp; brassicacées</t>
        </is>
      </c>
      <c r="B26" s="64" t="inlineStr">
        <is>
          <t>Chou cabus</t>
        </is>
      </c>
      <c r="C26" s="83">
        <f>IFERROR(IF(J26=K26,ROUND($C$3*J26/10,0),ROUND($C$3*J26/10,0)&amp;"–"&amp;ROUND($C$3*K26/10,0)),"—")</f>
        <v/>
      </c>
      <c r="D26" s="83">
        <f>IFERROR(IF(L26=M26,ROUND($C$3*L26/10,0),ROUND($C$3*L26/10,0)&amp;"–"&amp;ROUND($C$3*M26/10,0)),"—")</f>
        <v/>
      </c>
      <c r="E26" s="83">
        <f>IFERROR(IF(N26=O26,ROUND($C$3*N26/10,0),ROUND($C$3*N26/10,0)&amp;"–"&amp;ROUND($C$3*O26/10,0)),"—")</f>
        <v/>
      </c>
      <c r="F26" s="84">
        <f>IFERROR(IF(P26=Q26,ROUND($C$3*P26/10,1),ROUND($C$3*P26/10,1)&amp;"–"&amp;ROUND($C$3*Q26/10,1)),"—")</f>
        <v/>
      </c>
      <c r="G26" s="85" t="inlineStr">
        <is>
          <t xml:space="preserve">N 250 / P 80 / K 300 U/ha </t>
        </is>
      </c>
      <c r="H26" s="66" t="inlineStr">
        <is>
          <t>30–50 t/ha fumier composté</t>
        </is>
      </c>
      <c r="I26" s="66" t="inlineStr">
        <is>
          <t>(très gourmand) ; besoins en S et B</t>
        </is>
      </c>
      <c r="J26" t="n">
        <v>250</v>
      </c>
      <c r="K26" t="n">
        <v>250</v>
      </c>
      <c r="L26" t="n">
        <v>80</v>
      </c>
      <c r="M26" t="n">
        <v>80</v>
      </c>
      <c r="N26" t="n">
        <v>300</v>
      </c>
      <c r="O26" t="n">
        <v>300</v>
      </c>
      <c r="P26" t="n">
        <v>30</v>
      </c>
      <c r="Q26" t="n">
        <v>50</v>
      </c>
    </row>
    <row r="27" ht="30" customHeight="1" s="38">
      <c r="A27" s="96" t="n"/>
      <c r="B27" s="64" t="inlineStr">
        <is>
          <t>Chou frisé</t>
        </is>
      </c>
      <c r="C27" s="83">
        <f>IFERROR(IF(J27=K27,ROUND($C$3*J27/10,0),ROUND($C$3*J27/10,0)&amp;"–"&amp;ROUND($C$3*K27/10,0)),"—")</f>
        <v/>
      </c>
      <c r="D27" s="83">
        <f>IFERROR(IF(L27=M27,ROUND($C$3*L27/10,0),ROUND($C$3*L27/10,0)&amp;"–"&amp;ROUND($C$3*M27/10,0)),"—")</f>
        <v/>
      </c>
      <c r="E27" s="83">
        <f>IFERROR(IF(N27=O27,ROUND($C$3*N27/10,0),ROUND($C$3*N27/10,0)&amp;"–"&amp;ROUND($C$3*O27/10,0)),"—")</f>
        <v/>
      </c>
      <c r="F27" s="84">
        <f>IFERROR(IF(P27=Q27,ROUND($C$3*P27/10,1),ROUND($C$3*P27/10,1)&amp;"–"&amp;ROUND($C$3*Q27/10,1)),"—")</f>
        <v/>
      </c>
      <c r="G27" s="85" t="inlineStr">
        <is>
          <t>N 200 / P 70 / K 250 U/ha</t>
        </is>
      </c>
      <c r="H27" s="66" t="inlineStr">
        <is>
          <t>30 t/ha compost mûr</t>
        </is>
      </c>
      <c r="I27" s="66" t="n"/>
      <c r="J27" t="n">
        <v>200</v>
      </c>
      <c r="K27" t="n">
        <v>200</v>
      </c>
      <c r="L27" t="n">
        <v>70</v>
      </c>
      <c r="M27" t="n">
        <v>70</v>
      </c>
      <c r="N27" t="n">
        <v>250</v>
      </c>
      <c r="O27" t="n">
        <v>250</v>
      </c>
      <c r="P27" t="n">
        <v>30</v>
      </c>
      <c r="Q27" t="n">
        <v>30</v>
      </c>
    </row>
    <row r="28" ht="30" customHeight="1" s="38">
      <c r="A28" s="96" t="n"/>
      <c r="B28" s="64" t="inlineStr">
        <is>
          <t>Chou-fleur</t>
        </is>
      </c>
      <c r="C28" s="83">
        <f>IFERROR(IF(J28=K28,ROUND($C$3*J28/10,0),ROUND($C$3*J28/10,0)&amp;"–"&amp;ROUND($C$3*K28/10,0)),"—")</f>
        <v/>
      </c>
      <c r="D28" s="83">
        <f>IFERROR(IF(L28=M28,ROUND($C$3*L28/10,0),ROUND($C$3*L28/10,0)&amp;"–"&amp;ROUND($C$3*M28/10,0)),"—")</f>
        <v/>
      </c>
      <c r="E28" s="83">
        <f>IFERROR(IF(N28=O28,ROUND($C$3*N28/10,0),ROUND($C$3*N28/10,0)&amp;"–"&amp;ROUND($C$3*O28/10,0)),"—")</f>
        <v/>
      </c>
      <c r="F28" s="84">
        <f>IFERROR(IF(P28=Q28,ROUND($C$3*P28/10,1),ROUND($C$3*P28/10,1)&amp;"–"&amp;ROUND($C$3*Q28/10,1)),"—")</f>
        <v/>
      </c>
      <c r="G28" s="85" t="inlineStr">
        <is>
          <t>N 250 / P 100 / K 300 U/ha ; apport bore essentiel</t>
        </is>
      </c>
      <c r="H28" s="66" t="inlineStr">
        <is>
          <t>40–50 t/ha fumier composté</t>
        </is>
      </c>
      <c r="I28" s="66" t="n"/>
      <c r="J28" t="n">
        <v>250</v>
      </c>
      <c r="K28" t="n">
        <v>250</v>
      </c>
      <c r="L28" t="n">
        <v>100</v>
      </c>
      <c r="M28" t="n">
        <v>100</v>
      </c>
      <c r="N28" t="n">
        <v>300</v>
      </c>
      <c r="O28" t="n">
        <v>300</v>
      </c>
      <c r="P28" t="n">
        <v>40</v>
      </c>
      <c r="Q28" t="n">
        <v>50</v>
      </c>
    </row>
    <row r="29" ht="30" customHeight="1" s="38">
      <c r="A29" s="96" t="n"/>
      <c r="B29" s="64" t="inlineStr">
        <is>
          <t>Brocoli</t>
        </is>
      </c>
      <c r="C29" s="83">
        <f>IFERROR(IF(J29=K29,ROUND($C$3*J29/10,0),ROUND($C$3*J29/10,0)&amp;"–"&amp;ROUND($C$3*K29/10,0)),"—")</f>
        <v/>
      </c>
      <c r="D29" s="83">
        <f>IFERROR(IF(L29=M29,ROUND($C$3*L29/10,0),ROUND($C$3*L29/10,0)&amp;"–"&amp;ROUND($C$3*M29/10,0)),"—")</f>
        <v/>
      </c>
      <c r="E29" s="83">
        <f>IFERROR(IF(N29=O29,ROUND($C$3*N29/10,0),ROUND($C$3*N29/10,0)&amp;"–"&amp;ROUND($C$3*O29/10,0)),"—")</f>
        <v/>
      </c>
      <c r="F29" s="84">
        <f>IFERROR(IF(P29=Q29,ROUND($C$3*P29/10,1),ROUND($C$3*P29/10,1)&amp;"–"&amp;ROUND($C$3*Q29/10,1)),"—")</f>
        <v/>
      </c>
      <c r="G29" s="85" t="inlineStr">
        <is>
          <t>N 200 / P 80 / K 250 U/ha</t>
        </is>
      </c>
      <c r="H29" s="66" t="inlineStr">
        <is>
          <t>30–40 t/ha fumier composté</t>
        </is>
      </c>
      <c r="I29" s="66" t="n"/>
      <c r="J29" t="n">
        <v>200</v>
      </c>
      <c r="K29" t="n">
        <v>200</v>
      </c>
      <c r="L29" t="n">
        <v>80</v>
      </c>
      <c r="M29" t="n">
        <v>80</v>
      </c>
      <c r="N29" t="n">
        <v>250</v>
      </c>
      <c r="O29" t="n">
        <v>250</v>
      </c>
      <c r="P29" t="n">
        <v>30</v>
      </c>
      <c r="Q29" t="n">
        <v>40</v>
      </c>
    </row>
    <row r="30" ht="30" customHeight="1" s="38">
      <c r="A30" s="96" t="n"/>
      <c r="B30" s="64" t="inlineStr">
        <is>
          <t>Chou de Bruxelles</t>
        </is>
      </c>
      <c r="C30" s="83">
        <f>IFERROR(IF(J30=K30,ROUND($C$3*J30/10,0),ROUND($C$3*J30/10,0)&amp;"–"&amp;ROUND($C$3*K30/10,0)),"—")</f>
        <v/>
      </c>
      <c r="D30" s="83">
        <f>IFERROR(IF(L30=M30,ROUND($C$3*L30/10,0),ROUND($C$3*L30/10,0)&amp;"–"&amp;ROUND($C$3*M30/10,0)),"—")</f>
        <v/>
      </c>
      <c r="E30" s="83">
        <f>IFERROR(IF(N30=O30,ROUND($C$3*N30/10,0),ROUND($C$3*N30/10,0)&amp;"–"&amp;ROUND($C$3*O30/10,0)),"—")</f>
        <v/>
      </c>
      <c r="F30" s="84">
        <f>IFERROR(IF(P30=Q30,ROUND($C$3*P30/10,1),ROUND($C$3*P30/10,1)&amp;"–"&amp;ROUND($C$3*Q30/10,1)),"—")</f>
        <v/>
      </c>
      <c r="G30" s="85" t="inlineStr">
        <is>
          <t>N 200 / P 80 / K 250 U/ha ; besoins élevés en bore</t>
        </is>
      </c>
      <c r="H30" s="66" t="inlineStr">
        <is>
          <t>30 t/ha fumier composté</t>
        </is>
      </c>
      <c r="I30" s="66" t="n"/>
      <c r="J30" t="n">
        <v>200</v>
      </c>
      <c r="K30" t="n">
        <v>200</v>
      </c>
      <c r="L30" t="n">
        <v>80</v>
      </c>
      <c r="M30" t="n">
        <v>80</v>
      </c>
      <c r="N30" t="n">
        <v>250</v>
      </c>
      <c r="O30" t="n">
        <v>250</v>
      </c>
      <c r="P30" t="n">
        <v>30</v>
      </c>
      <c r="Q30" t="n">
        <v>30</v>
      </c>
    </row>
    <row r="31" ht="30" customHeight="1" s="38">
      <c r="A31" s="96" t="n"/>
      <c r="B31" s="64" t="inlineStr">
        <is>
          <t>Pak choï</t>
        </is>
      </c>
      <c r="C31" s="83">
        <f>IFERROR(IF(J31=K31,ROUND($C$3*J31/10,0),ROUND($C$3*J31/10,0)&amp;"–"&amp;ROUND($C$3*K31/10,0)),"—")</f>
        <v/>
      </c>
      <c r="D31" s="83">
        <f>IFERROR(IF(L31=M31,ROUND($C$3*L31/10,0),ROUND($C$3*L31/10,0)&amp;"–"&amp;ROUND($C$3*M31/10,0)),"—")</f>
        <v/>
      </c>
      <c r="E31" s="83">
        <f>IFERROR(IF(N31=O31,ROUND($C$3*N31/10,0),ROUND($C$3*N31/10,0)&amp;"–"&amp;ROUND($C$3*O31/10,0)),"—")</f>
        <v/>
      </c>
      <c r="F31" s="84">
        <f>IFERROR(IF(P31=Q31,ROUND($C$3*P31/10,1),ROUND($C$3*P31/10,1)&amp;"–"&amp;ROUND($C$3*Q31/10,1)),"—")</f>
        <v/>
      </c>
      <c r="G31" s="85" t="inlineStr">
        <is>
          <t>Moyennement gourmand</t>
        </is>
      </c>
      <c r="H31" s="66" t="inlineStr">
        <is>
          <t>20–30 t/ha compost bien mûr (≈ N 120 / P 60 / K 180 U/ha)</t>
        </is>
      </c>
      <c r="I31" s="66" t="n"/>
      <c r="J31" t="n">
        <v>120</v>
      </c>
      <c r="K31" t="n">
        <v>120</v>
      </c>
      <c r="L31" t="n">
        <v>60</v>
      </c>
      <c r="M31" t="n">
        <v>60</v>
      </c>
      <c r="N31" t="n">
        <v>180</v>
      </c>
      <c r="O31" t="n">
        <v>180</v>
      </c>
      <c r="P31" t="n">
        <v>20</v>
      </c>
      <c r="Q31" t="n">
        <v>30</v>
      </c>
    </row>
    <row r="32" ht="30" customHeight="1" s="38">
      <c r="A32" s="96" t="n"/>
      <c r="B32" s="64" t="inlineStr">
        <is>
          <t>Bok choï</t>
        </is>
      </c>
      <c r="C32" s="83">
        <f>IFERROR(IF(J32=K32,ROUND($C$3*J32/10,0),ROUND($C$3*J32/10,0)&amp;"–"&amp;ROUND($C$3*K32/10,0)),"—")</f>
        <v/>
      </c>
      <c r="D32" s="83">
        <f>IFERROR(IF(L32=M32,ROUND($C$3*L32/10,0),ROUND($C$3*L32/10,0)&amp;"–"&amp;ROUND($C$3*M32/10,0)),"—")</f>
        <v/>
      </c>
      <c r="E32" s="83">
        <f>IFERROR(IF(N32=O32,ROUND($C$3*N32/10,0),ROUND($C$3*N32/10,0)&amp;"–"&amp;ROUND($C$3*O32/10,0)),"—")</f>
        <v/>
      </c>
      <c r="F32" s="84">
        <f>IFERROR(IF(P32=Q32,ROUND($C$3*P32/10,1),ROUND($C$3*P32/10,1)&amp;"–"&amp;ROUND($C$3*Q32/10,1)),"—")</f>
        <v/>
      </c>
      <c r="G32" s="85" t="inlineStr">
        <is>
          <t>Moyennement gourmand</t>
        </is>
      </c>
      <c r="H32" s="66" t="inlineStr">
        <is>
          <t>20–30 t/ha compost bien mûr (≈ N 120 / P 60 / K 180 U/ha)</t>
        </is>
      </c>
      <c r="I32" s="66" t="n"/>
      <c r="J32" t="n">
        <v>120</v>
      </c>
      <c r="K32" t="n">
        <v>120</v>
      </c>
      <c r="L32" t="n">
        <v>60</v>
      </c>
      <c r="M32" t="n">
        <v>60</v>
      </c>
      <c r="N32" t="n">
        <v>180</v>
      </c>
      <c r="O32" t="n">
        <v>180</v>
      </c>
      <c r="P32" t="n">
        <v>20</v>
      </c>
      <c r="Q32" t="n">
        <v>30</v>
      </c>
    </row>
    <row r="33" ht="30" customHeight="1" s="38">
      <c r="A33" s="96" t="n"/>
      <c r="B33" s="64" t="inlineStr">
        <is>
          <t>Navet</t>
        </is>
      </c>
      <c r="C33" s="83">
        <f>IFERROR(IF(J33=K33,ROUND($C$3*J33/10,0),ROUND($C$3*J33/10,0)&amp;"–"&amp;ROUND($C$3*K33/10,0)),"—")</f>
        <v/>
      </c>
      <c r="D33" s="83">
        <f>IFERROR(IF(L33=M33,ROUND($C$3*L33/10,0),ROUND($C$3*L33/10,0)&amp;"–"&amp;ROUND($C$3*M33/10,0)),"—")</f>
        <v/>
      </c>
      <c r="E33" s="83">
        <f>IFERROR(IF(N33=O33,ROUND($C$3*N33/10,0),ROUND($C$3*N33/10,0)&amp;"–"&amp;ROUND($C$3*O33/10,0)),"—")</f>
        <v/>
      </c>
      <c r="F33" s="84" t="inlineStr">
        <is>
          <t>n.c.</t>
        </is>
      </c>
      <c r="G33" s="86" t="inlineStr">
        <is>
          <t xml:space="preserve">N 70 / P 50 / K 140 U/ha </t>
        </is>
      </c>
      <c r="H33" s="66" t="n"/>
      <c r="I33" s="66" t="inlineStr">
        <is>
          <t>printemps : engrais à minéralisation rapide ; hiver : reliquats suffisants</t>
        </is>
      </c>
      <c r="J33" t="n">
        <v>70</v>
      </c>
      <c r="K33" t="n">
        <v>70</v>
      </c>
      <c r="L33" t="n">
        <v>50</v>
      </c>
      <c r="M33" t="n">
        <v>50</v>
      </c>
      <c r="N33" t="n">
        <v>140</v>
      </c>
      <c r="O33" t="n">
        <v>140</v>
      </c>
      <c r="P33" t="n">
        <v>0</v>
      </c>
      <c r="Q33" t="n">
        <v>0</v>
      </c>
    </row>
    <row r="34" ht="30" customHeight="1" s="38">
      <c r="A34" s="97" t="n"/>
      <c r="B34" s="64" t="inlineStr">
        <is>
          <t>Radis</t>
        </is>
      </c>
      <c r="C34" s="83">
        <f>IFERROR(IF(J34=K34,ROUND($C$3*J34/10,0),ROUND($C$3*J34/10,0)&amp;"–"&amp;ROUND($C$3*K34/10,0)),"—")</f>
        <v/>
      </c>
      <c r="D34" s="83">
        <f>IFERROR(IF(L34=M34,ROUND($C$3*L34/10,0),ROUND($C$3*L34/10,0)&amp;"–"&amp;ROUND($C$3*M34/10,0)),"—")</f>
        <v/>
      </c>
      <c r="E34" s="83">
        <f>IFERROR(IF(N34=O34,ROUND($C$3*N34/10,0),ROUND($C$3*N34/10,0)&amp;"–"&amp;ROUND($C$3*O34/10,0)),"—")</f>
        <v/>
      </c>
      <c r="F34" s="84" t="inlineStr">
        <is>
          <t>n.c.</t>
        </is>
      </c>
      <c r="G34" s="86" t="inlineStr">
        <is>
          <t>N 70 / P 50 / K 120 U/ha</t>
        </is>
      </c>
      <c r="H34" s="66" t="inlineStr">
        <is>
          <t>compost mûr si sol pauvre</t>
        </is>
      </c>
      <c r="I34" s="66" t="n"/>
      <c r="J34" t="n">
        <v>70</v>
      </c>
      <c r="K34" t="n">
        <v>70</v>
      </c>
      <c r="L34" t="n">
        <v>50</v>
      </c>
      <c r="M34" t="n">
        <v>50</v>
      </c>
      <c r="N34" t="n">
        <v>120</v>
      </c>
      <c r="O34" t="n">
        <v>120</v>
      </c>
      <c r="P34" t="n">
        <v>0</v>
      </c>
      <c r="Q34" t="n">
        <v>0</v>
      </c>
    </row>
    <row r="35" ht="8" customHeight="1" s="38">
      <c r="A35" s="37" t="n"/>
      <c r="B35" s="37" t="n"/>
      <c r="G35" s="10" t="n"/>
      <c r="H35" s="34" t="n"/>
      <c r="I35" s="34" t="n"/>
    </row>
    <row r="36" ht="30" customHeight="1" s="38">
      <c r="A36" s="78" t="inlineStr">
        <is>
          <t>Légumineuses</t>
        </is>
      </c>
      <c r="B36" s="64" t="inlineStr">
        <is>
          <t>Pois</t>
        </is>
      </c>
      <c r="C36" s="83" t="n">
        <v>0</v>
      </c>
      <c r="D36" s="83" t="n">
        <v>0</v>
      </c>
      <c r="E36" s="83" t="n">
        <v>0</v>
      </c>
      <c r="F36" s="84" t="inlineStr">
        <is>
          <t>n.c.</t>
        </is>
      </c>
      <c r="G36" s="86" t="inlineStr">
        <is>
          <t>PAS d'apport azoté (fixe N)</t>
        </is>
      </c>
      <c r="H36" s="66" t="inlineStr">
        <is>
          <t>si nécessaire : compost très mûr</t>
        </is>
      </c>
      <c r="I36" s="66" t="n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 ht="30" customHeight="1" s="38">
      <c r="A37" s="96" t="n"/>
      <c r="B37" s="64" t="inlineStr">
        <is>
          <t>Pois mangetout</t>
        </is>
      </c>
      <c r="C37" s="83" t="n">
        <v>0</v>
      </c>
      <c r="D37" s="83" t="n">
        <v>0</v>
      </c>
      <c r="E37" s="83" t="n">
        <v>0</v>
      </c>
      <c r="F37" s="84" t="inlineStr">
        <is>
          <t>n.c.</t>
        </is>
      </c>
      <c r="G37" s="85" t="inlineStr">
        <is>
          <t>PAS d'apport azoté (légumineuse) ; sol frais suffit</t>
        </is>
      </c>
      <c r="H37" s="66" t="n"/>
      <c r="I37" s="66" t="n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 ht="30" customHeight="1" s="38">
      <c r="A38" s="96" t="n"/>
      <c r="B38" s="64" t="inlineStr">
        <is>
          <t>Fève</t>
        </is>
      </c>
      <c r="C38" s="83" t="n">
        <v>0</v>
      </c>
      <c r="D38" s="83" t="n">
        <v>0</v>
      </c>
      <c r="E38" s="83" t="n">
        <v>0</v>
      </c>
      <c r="F38" s="84" t="inlineStr">
        <is>
          <t>n.c.</t>
        </is>
      </c>
      <c r="G38" s="86" t="inlineStr">
        <is>
          <t>PAS d'apport conseillé</t>
        </is>
      </c>
      <c r="H38" s="66" t="n"/>
      <c r="I38" s="66" t="n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 ht="30" customHeight="1" s="38">
      <c r="A39" s="96" t="n"/>
      <c r="B39" s="64" t="inlineStr">
        <is>
          <t>Haricot nain</t>
        </is>
      </c>
      <c r="C39" s="83">
        <f>IFERROR(IF(J39=K39,ROUND($C$3*J39/10,0),ROUND($C$3*J39/10,0)&amp;"–"&amp;ROUND($C$3*K39/10,0)),"—")</f>
        <v/>
      </c>
      <c r="D39" s="83">
        <f>IFERROR(IF(L39=M39,ROUND($C$3*L39/10,0),ROUND($C$3*L39/10,0)&amp;"–"&amp;ROUND($C$3*M39/10,0)),"—")</f>
        <v/>
      </c>
      <c r="E39" s="83">
        <f>IFERROR(IF(N39=O39,ROUND($C$3*N39/10,0),ROUND($C$3*N39/10,0)&amp;"–"&amp;ROUND($C$3*O39/10,0)),"—")</f>
        <v/>
      </c>
      <c r="F39" s="84" t="inlineStr">
        <is>
          <t>n.c.</t>
        </is>
      </c>
      <c r="G39" s="86" t="inlineStr">
        <is>
          <t xml:space="preserve"> N 20–30 / P 50–80 / K 120–150 U/ha</t>
        </is>
      </c>
      <c r="H39" s="66" t="inlineStr">
        <is>
          <t>compost bien évolué à l'automne précédent ; MO fraîche déconseillée</t>
        </is>
      </c>
      <c r="I39" s="66" t="inlineStr">
        <is>
          <t xml:space="preserve">Peu gourmand </t>
        </is>
      </c>
      <c r="J39" t="n">
        <v>20</v>
      </c>
      <c r="K39" t="n">
        <v>30</v>
      </c>
      <c r="L39" t="n">
        <v>50</v>
      </c>
      <c r="M39" t="n">
        <v>80</v>
      </c>
      <c r="N39" t="n">
        <v>120</v>
      </c>
      <c r="O39" t="n">
        <v>150</v>
      </c>
      <c r="P39" t="n">
        <v>0</v>
      </c>
      <c r="Q39" t="n">
        <v>0</v>
      </c>
    </row>
    <row r="40" ht="30" customHeight="1" s="38">
      <c r="A40" s="96" t="n"/>
      <c r="B40" s="64" t="inlineStr">
        <is>
          <t>Haricot à rame</t>
        </is>
      </c>
      <c r="C40" s="83">
        <f>IFERROR(IF(J40=K40,ROUND($C$3*J40/10,0),ROUND($C$3*J40/10,0)&amp;"–"&amp;ROUND($C$3*K40/10,0)),"—")</f>
        <v/>
      </c>
      <c r="D40" s="83">
        <f>IFERROR(IF(L40=M40,ROUND($C$3*L40/10,0),ROUND($C$3*L40/10,0)&amp;"–"&amp;ROUND($C$3*M40/10,0)),"—")</f>
        <v/>
      </c>
      <c r="E40" s="83">
        <f>IFERROR(IF(N40=O40,ROUND($C$3*N40/10,0),ROUND($C$3*N40/10,0)&amp;"–"&amp;ROUND($C$3*O40/10,0)),"—")</f>
        <v/>
      </c>
      <c r="F40" s="84" t="inlineStr">
        <is>
          <t>n.c.</t>
        </is>
      </c>
      <c r="G40" s="85" t="inlineStr">
        <is>
          <t>N 20–30 / P 50–80 / K 120–150 U/ha</t>
        </is>
      </c>
      <c r="H40" s="66" t="inlineStr">
        <is>
          <t>compost à l'automne précédent</t>
        </is>
      </c>
      <c r="I40" s="66" t="n"/>
      <c r="J40" t="n">
        <v>20</v>
      </c>
      <c r="K40" t="n">
        <v>30</v>
      </c>
      <c r="L40" t="n">
        <v>50</v>
      </c>
      <c r="M40" t="n">
        <v>80</v>
      </c>
      <c r="N40" t="n">
        <v>120</v>
      </c>
      <c r="O40" t="n">
        <v>150</v>
      </c>
      <c r="P40" t="n">
        <v>0</v>
      </c>
      <c r="Q40" t="n">
        <v>0</v>
      </c>
    </row>
    <row r="41" ht="30" customHeight="1" s="38">
      <c r="A41" s="97" t="n"/>
      <c r="B41" s="64" t="inlineStr">
        <is>
          <t>Pois chiche</t>
        </is>
      </c>
      <c r="C41" s="83" t="n">
        <v>0</v>
      </c>
      <c r="D41" s="83" t="n">
        <v>0</v>
      </c>
      <c r="E41" s="83" t="n">
        <v>0</v>
      </c>
      <c r="F41" s="84" t="inlineStr">
        <is>
          <t>n.c.</t>
        </is>
      </c>
      <c r="G41" s="86" t="n"/>
      <c r="H41" s="66" t="n"/>
      <c r="I41" s="66" t="n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 ht="8" customHeight="1" s="38">
      <c r="A42" s="37" t="n"/>
      <c r="B42" s="37" t="n"/>
      <c r="G42" s="11" t="n"/>
      <c r="H42" s="34" t="n"/>
      <c r="I42" s="34" t="n"/>
    </row>
    <row r="43" ht="30" customHeight="1" s="38">
      <c r="A43" s="78" t="inlineStr">
        <is>
          <t>Légumes- feuilles</t>
        </is>
      </c>
      <c r="B43" s="64" t="inlineStr">
        <is>
          <t>Laitue</t>
        </is>
      </c>
      <c r="C43" s="83">
        <f>IFERROR(IF(J43=K43,ROUND($C$3*J43/10,0),ROUND($C$3*J43/10,0)&amp;"–"&amp;ROUND($C$3*K43/10,0)),"—")</f>
        <v/>
      </c>
      <c r="D43" s="83">
        <f>IFERROR(IF(L43=M43,ROUND($C$3*L43/10,0),ROUND($C$3*L43/10,0)&amp;"–"&amp;ROUND($C$3*M43/10,0)),"—")</f>
        <v/>
      </c>
      <c r="E43" s="83">
        <f>IFERROR(IF(N43=O43,ROUND($C$3*N43/10,0),ROUND($C$3*N43/10,0)&amp;"–"&amp;ROUND($C$3*O43/10,0)),"—")</f>
        <v/>
      </c>
      <c r="F43" s="84">
        <f>IFERROR(IF(P43=Q43,ROUND($C$3*P43/10,1),ROUND($C$3*P43/10,1)&amp;"–"&amp;ROUND($C$3*Q43/10,1)),"—")</f>
        <v/>
      </c>
      <c r="G43" s="85" t="inlineStr">
        <is>
          <t xml:space="preserve">Moy. gourmande ; N 80–120 / P 40 / K 150 U/ha </t>
        </is>
      </c>
      <c r="H43" s="66" t="inlineStr">
        <is>
          <t>20–30 t/ha compost mûr</t>
        </is>
      </c>
      <c r="I43" s="66" t="inlineStr">
        <is>
          <t>sensible nécrose marginale (Ca)</t>
        </is>
      </c>
      <c r="J43" t="n">
        <v>80</v>
      </c>
      <c r="K43" t="n">
        <v>120</v>
      </c>
      <c r="L43" t="n">
        <v>40</v>
      </c>
      <c r="M43" t="n">
        <v>40</v>
      </c>
      <c r="N43" t="n">
        <v>150</v>
      </c>
      <c r="O43" t="n">
        <v>150</v>
      </c>
      <c r="P43" t="n">
        <v>20</v>
      </c>
      <c r="Q43" t="n">
        <v>30</v>
      </c>
    </row>
    <row r="44" ht="30" customHeight="1" s="38">
      <c r="A44" s="96" t="n"/>
      <c r="B44" s="64" t="inlineStr">
        <is>
          <t>Batavia</t>
        </is>
      </c>
      <c r="C44" s="83">
        <f>IFERROR(IF(J44=K44,ROUND($C$3*J44/10,0),ROUND($C$3*J44/10,0)&amp;"–"&amp;ROUND($C$3*K44/10,0)),"—")</f>
        <v/>
      </c>
      <c r="D44" s="83">
        <f>IFERROR(IF(L44=M44,ROUND($C$3*L44/10,0),ROUND($C$3*L44/10,0)&amp;"–"&amp;ROUND($C$3*M44/10,0)),"—")</f>
        <v/>
      </c>
      <c r="E44" s="83">
        <f>IFERROR(IF(N44=O44,ROUND($C$3*N44/10,0),ROUND($C$3*N44/10,0)&amp;"–"&amp;ROUND($C$3*O44/10,0)),"—")</f>
        <v/>
      </c>
      <c r="F44" s="84">
        <f>IFERROR(IF(P44=Q44,ROUND($C$3*P44/10,1),ROUND($C$3*P44/10,1)&amp;"–"&amp;ROUND($C$3*Q44/10,1)),"—")</f>
        <v/>
      </c>
      <c r="G44" s="85" t="inlineStr">
        <is>
          <t>N 80–120 / P 40 / K 150 U/ha</t>
        </is>
      </c>
      <c r="H44" s="66" t="inlineStr">
        <is>
          <t>20–30 t/ha compost mûr</t>
        </is>
      </c>
      <c r="I44" s="66" t="n"/>
      <c r="J44" t="n">
        <v>80</v>
      </c>
      <c r="K44" t="n">
        <v>120</v>
      </c>
      <c r="L44" t="n">
        <v>40</v>
      </c>
      <c r="M44" t="n">
        <v>40</v>
      </c>
      <c r="N44" t="n">
        <v>150</v>
      </c>
      <c r="O44" t="n">
        <v>150</v>
      </c>
      <c r="P44" t="n">
        <v>20</v>
      </c>
      <c r="Q44" t="n">
        <v>30</v>
      </c>
    </row>
    <row r="45" ht="30" customHeight="1" s="38">
      <c r="A45" s="96" t="n"/>
      <c r="B45" s="64" t="inlineStr">
        <is>
          <t>Feuille de chêne</t>
        </is>
      </c>
      <c r="C45" s="83">
        <f>IFERROR(IF(J45=K45,ROUND($C$3*J45/10,0),ROUND($C$3*J45/10,0)&amp;"–"&amp;ROUND($C$3*K45/10,0)),"—")</f>
        <v/>
      </c>
      <c r="D45" s="83">
        <f>IFERROR(IF(L45=M45,ROUND($C$3*L45/10,0),ROUND($C$3*L45/10,0)&amp;"–"&amp;ROUND($C$3*M45/10,0)),"—")</f>
        <v/>
      </c>
      <c r="E45" s="83">
        <f>IFERROR(IF(N45=O45,ROUND($C$3*N45/10,0),ROUND($C$3*N45/10,0)&amp;"–"&amp;ROUND($C$3*O45/10,0)),"—")</f>
        <v/>
      </c>
      <c r="F45" s="84">
        <f>IFERROR(IF(P45=Q45,ROUND($C$3*P45/10,1),ROUND($C$3*P45/10,1)&amp;"–"&amp;ROUND($C$3*Q45/10,1)),"—")</f>
        <v/>
      </c>
      <c r="G45" s="85" t="inlineStr">
        <is>
          <t>N 80–120 / P 40 / K 150 U/ha</t>
        </is>
      </c>
      <c r="H45" s="66" t="inlineStr">
        <is>
          <t>20 t/ha compost mûr</t>
        </is>
      </c>
      <c r="I45" s="66" t="n"/>
      <c r="J45" t="n">
        <v>80</v>
      </c>
      <c r="K45" t="n">
        <v>120</v>
      </c>
      <c r="L45" t="n">
        <v>40</v>
      </c>
      <c r="M45" t="n">
        <v>40</v>
      </c>
      <c r="N45" t="n">
        <v>150</v>
      </c>
      <c r="O45" t="n">
        <v>150</v>
      </c>
      <c r="P45" t="n">
        <v>20</v>
      </c>
      <c r="Q45" t="n">
        <v>20</v>
      </c>
    </row>
    <row r="46" ht="30" customHeight="1" s="38">
      <c r="A46" s="96" t="n"/>
      <c r="B46" s="64" t="inlineStr">
        <is>
          <t>Mâche</t>
        </is>
      </c>
      <c r="C46" s="83">
        <f>IFERROR(IF(J46=K46,ROUND($C$3*J46/10,0),ROUND($C$3*J46/10,0)&amp;"–"&amp;ROUND($C$3*K46/10,0)),"—")</f>
        <v/>
      </c>
      <c r="D46" s="83">
        <f>IFERROR(IF(L46=M46,ROUND($C$3*L46/10,0),ROUND($C$3*L46/10,0)&amp;"–"&amp;ROUND($C$3*M46/10,0)),"—")</f>
        <v/>
      </c>
      <c r="E46" s="83">
        <f>IFERROR(IF(N46=O46,ROUND($C$3*N46/10,0),ROUND($C$3*N46/10,0)&amp;"–"&amp;ROUND($C$3*O46/10,0)),"—")</f>
        <v/>
      </c>
      <c r="F46" s="84" t="inlineStr">
        <is>
          <t>n.c.</t>
        </is>
      </c>
      <c r="G46" s="85" t="inlineStr">
        <is>
          <t xml:space="preserve">Exportation N 30 / P 15 / K 50 U/ha </t>
        </is>
      </c>
      <c r="H46" s="66" t="n"/>
      <c r="I46" s="66" t="inlineStr">
        <is>
          <t>(très peu exigeante) ; reliquats de la culture d'été généralement suffisants</t>
        </is>
      </c>
      <c r="J46" t="n">
        <v>30</v>
      </c>
      <c r="K46" t="n">
        <v>30</v>
      </c>
      <c r="L46" t="n">
        <v>15</v>
      </c>
      <c r="M46" t="n">
        <v>15</v>
      </c>
      <c r="N46" t="n">
        <v>50</v>
      </c>
      <c r="O46" t="n">
        <v>50</v>
      </c>
      <c r="P46" t="n">
        <v>0</v>
      </c>
      <c r="Q46" t="n">
        <v>0</v>
      </c>
    </row>
    <row r="47" ht="30" customHeight="1" s="38">
      <c r="A47" s="96" t="n"/>
      <c r="B47" s="64" t="inlineStr">
        <is>
          <t>Épinard</t>
        </is>
      </c>
      <c r="C47" s="83">
        <f>IFERROR(IF(J47=K47,ROUND($C$3*J47/10,0),ROUND($C$3*J47/10,0)&amp;"–"&amp;ROUND($C$3*K47/10,0)),"—")</f>
        <v/>
      </c>
      <c r="D47" s="83">
        <f>IFERROR(IF(L47=M47,ROUND($C$3*L47/10,0),ROUND($C$3*L47/10,0)&amp;"–"&amp;ROUND($C$3*M47/10,0)),"—")</f>
        <v/>
      </c>
      <c r="E47" s="83">
        <f>IFERROR(IF(N47=O47,ROUND($C$3*N47/10,0),ROUND($C$3*N47/10,0)&amp;"–"&amp;ROUND($C$3*O47/10,0)),"—")</f>
        <v/>
      </c>
      <c r="F47" s="84">
        <f>IFERROR(IF(P47=Q47,ROUND($C$3*P47/10,1),ROUND($C$3*P47/10,1)&amp;"–"&amp;ROUND($C$3*Q47/10,1)),"—")</f>
        <v/>
      </c>
      <c r="G47" s="85" t="inlineStr">
        <is>
          <t xml:space="preserve">N 120–150 / P 50 / K 150 U/ha </t>
        </is>
      </c>
      <c r="H47" s="66" t="inlineStr">
        <is>
          <t>20–30 t/ha compost mûr</t>
        </is>
      </c>
      <c r="I47" s="66" t="inlineStr">
        <is>
          <t>(gourmand en N) ; sensible carences Fe et Mn</t>
        </is>
      </c>
      <c r="J47" t="n">
        <v>120</v>
      </c>
      <c r="K47" t="n">
        <v>150</v>
      </c>
      <c r="L47" t="n">
        <v>50</v>
      </c>
      <c r="M47" t="n">
        <v>50</v>
      </c>
      <c r="N47" t="n">
        <v>150</v>
      </c>
      <c r="O47" t="n">
        <v>150</v>
      </c>
      <c r="P47" t="n">
        <v>20</v>
      </c>
      <c r="Q47" t="n">
        <v>30</v>
      </c>
    </row>
    <row r="48" ht="30" customHeight="1" s="38">
      <c r="A48" s="97" t="n"/>
      <c r="B48" s="64" t="inlineStr">
        <is>
          <t>Roquette</t>
        </is>
      </c>
      <c r="C48" s="83">
        <f>IFERROR(IF(J48=K48,ROUND($C$3*J48/10,0),ROUND($C$3*J48/10,0)&amp;"–"&amp;ROUND($C$3*K48/10,0)),"—")</f>
        <v/>
      </c>
      <c r="D48" s="83">
        <f>IFERROR(IF(L48=M48,ROUND($C$3*L48/10,0),ROUND($C$3*L48/10,0)&amp;"–"&amp;ROUND($C$3*M48/10,0)),"—")</f>
        <v/>
      </c>
      <c r="E48" s="83">
        <f>IFERROR(IF(N48=O48,ROUND($C$3*N48/10,0),ROUND($C$3*N48/10,0)&amp;"–"&amp;ROUND($C$3*O48/10,0)),"—")</f>
        <v/>
      </c>
      <c r="F48" s="84">
        <f>IFERROR(IF(P48=Q48,ROUND($C$3*P48/10,1),ROUND($C$3*P48/10,1)&amp;"–"&amp;ROUND($C$3*Q48/10,1)),"—")</f>
        <v/>
      </c>
      <c r="G48" s="85" t="inlineStr">
        <is>
          <t>N 50–80 / P 30 / K 80 U/ha (cycles courts)</t>
        </is>
      </c>
      <c r="H48" s="66" t="inlineStr">
        <is>
          <t>15–20 t/ha compost mûr</t>
        </is>
      </c>
      <c r="I48" s="66" t="inlineStr">
        <is>
          <t>(cycles courts)</t>
        </is>
      </c>
      <c r="J48" t="n">
        <v>50</v>
      </c>
      <c r="K48" t="n">
        <v>80</v>
      </c>
      <c r="L48" t="n">
        <v>30</v>
      </c>
      <c r="M48" t="n">
        <v>30</v>
      </c>
      <c r="N48" t="n">
        <v>80</v>
      </c>
      <c r="O48" t="n">
        <v>80</v>
      </c>
      <c r="P48" t="n">
        <v>15</v>
      </c>
      <c r="Q48" t="n">
        <v>20</v>
      </c>
    </row>
    <row r="49" ht="8" customHeight="1" s="38">
      <c r="A49" s="37" t="n"/>
      <c r="B49" s="37" t="n"/>
      <c r="G49" s="10" t="n"/>
      <c r="H49" s="34" t="n"/>
      <c r="I49" s="34" t="n"/>
    </row>
    <row r="50" ht="30" customHeight="1" s="38">
      <c r="A50" s="78" t="inlineStr">
        <is>
          <t>Racines</t>
        </is>
      </c>
      <c r="B50" s="64" t="inlineStr">
        <is>
          <t>Carotte</t>
        </is>
      </c>
      <c r="C50" s="83">
        <f>IFERROR(IF(J50=K50,ROUND($C$3*J50/10,0),ROUND($C$3*J50/10,0)&amp;"–"&amp;ROUND($C$3*K50/10,0)),"—")</f>
        <v/>
      </c>
      <c r="D50" s="83">
        <f>IFERROR(IF(L50=M50,ROUND($C$3*L50/10,0),ROUND($C$3*L50/10,0)&amp;"–"&amp;ROUND($C$3*M50/10,0)),"—")</f>
        <v/>
      </c>
      <c r="E50" s="83">
        <f>IFERROR(IF(N50=O50,ROUND($C$3*N50/10,0),ROUND($C$3*N50/10,0)&amp;"–"&amp;ROUND($C$3*O50/10,0)),"—")</f>
        <v/>
      </c>
      <c r="F50" s="84">
        <f>IFERROR(IF(P50=Q50,ROUND($C$3*P50/10,1),ROUND($C$3*P50/10,1)&amp;"–"&amp;ROUND($C$3*Q50/10,1)),"—")</f>
        <v/>
      </c>
      <c r="G50" s="86" t="inlineStr">
        <is>
          <t xml:space="preserve">N 66 / P 35 / K 105 U/ha </t>
        </is>
      </c>
      <c r="H50" s="66" t="inlineStr">
        <is>
          <t>20 t/ha fumier OU compost mûr, 1,5 à 2 mois AVANT semis</t>
        </is>
      </c>
      <c r="I50" s="66" t="inlineStr">
        <is>
          <t xml:space="preserve"> éviter fumure fraîche (racines fourchues)</t>
        </is>
      </c>
      <c r="J50" t="n">
        <v>66</v>
      </c>
      <c r="K50" t="n">
        <v>66</v>
      </c>
      <c r="L50" t="n">
        <v>35</v>
      </c>
      <c r="M50" t="n">
        <v>35</v>
      </c>
      <c r="N50" t="n">
        <v>105</v>
      </c>
      <c r="O50" t="n">
        <v>105</v>
      </c>
      <c r="P50" t="n">
        <v>20</v>
      </c>
      <c r="Q50" t="n">
        <v>20</v>
      </c>
    </row>
    <row r="51" ht="30" customHeight="1" s="38">
      <c r="A51" s="96" t="n"/>
      <c r="B51" s="64" t="inlineStr">
        <is>
          <t>Betterave</t>
        </is>
      </c>
      <c r="C51" s="83">
        <f>IFERROR(IF(J51=K51,ROUND($C$3*J51/10,0),ROUND($C$3*J51/10,0)&amp;"–"&amp;ROUND($C$3*K51/10,0)),"—")</f>
        <v/>
      </c>
      <c r="D51" s="83">
        <f>IFERROR(IF(L51=M51,ROUND($C$3*L51/10,0),ROUND($C$3*L51/10,0)&amp;"–"&amp;ROUND($C$3*M51/10,0)),"—")</f>
        <v/>
      </c>
      <c r="E51" s="83">
        <f>IFERROR(IF(N51=O51,ROUND($C$3*N51/10,0),ROUND($C$3*N51/10,0)&amp;"–"&amp;ROUND($C$3*O51/10,0)),"—")</f>
        <v/>
      </c>
      <c r="F51" s="84">
        <f>IFERROR(IF(P51=Q51,ROUND($C$3*P51/10,1),ROUND($C$3*P51/10,1)&amp;"–"&amp;ROUND($C$3*Q51/10,1)),"—")</f>
        <v/>
      </c>
      <c r="G51" s="85" t="inlineStr">
        <is>
          <t xml:space="preserve">N 120 / P 60 / K 200 U/ha </t>
        </is>
      </c>
      <c r="H51" s="66" t="inlineStr">
        <is>
          <t>25–30 t/ha fumier composté</t>
        </is>
      </c>
      <c r="I51" s="66" t="inlineStr">
        <is>
          <t>besoins élevés en bore</t>
        </is>
      </c>
      <c r="J51" t="n">
        <v>120</v>
      </c>
      <c r="K51" t="n">
        <v>120</v>
      </c>
      <c r="L51" t="n">
        <v>60</v>
      </c>
      <c r="M51" t="n">
        <v>60</v>
      </c>
      <c r="N51" t="n">
        <v>200</v>
      </c>
      <c r="O51" t="n">
        <v>200</v>
      </c>
      <c r="P51" t="n">
        <v>25</v>
      </c>
      <c r="Q51" t="n">
        <v>30</v>
      </c>
    </row>
    <row r="52" ht="30" customHeight="1" s="38">
      <c r="A52" s="96" t="n"/>
      <c r="B52" s="64" t="inlineStr">
        <is>
          <t>Betterave</t>
        </is>
      </c>
      <c r="C52" s="83">
        <f>IFERROR(IF(J52=K52,ROUND($C$3*J52/10,0),ROUND($C$3*J52/10,0)&amp;"–"&amp;ROUND($C$3*K52/10,0)),"—")</f>
        <v/>
      </c>
      <c r="D52" s="83">
        <f>IFERROR(IF(L52=M52,ROUND($C$3*L52/10,0),ROUND($C$3*L52/10,0)&amp;"–"&amp;ROUND($C$3*M52/10,0)),"—")</f>
        <v/>
      </c>
      <c r="E52" s="83">
        <f>IFERROR(IF(N52=O52,ROUND($C$3*N52/10,0),ROUND($C$3*N52/10,0)&amp;"–"&amp;ROUND($C$3*O52/10,0)),"—")</f>
        <v/>
      </c>
      <c r="F52" s="84">
        <f>IFERROR(IF(P52=Q52,ROUND($C$3*P52/10,1),ROUND($C$3*P52/10,1)&amp;"–"&amp;ROUND($C$3*Q52/10,1)),"—")</f>
        <v/>
      </c>
      <c r="G52" s="85" t="inlineStr">
        <is>
          <t>N 120 / P 60 / K 200 U/ha</t>
        </is>
      </c>
      <c r="H52" s="66" t="inlineStr">
        <is>
          <t>25–30 t/ha fumier composté</t>
        </is>
      </c>
      <c r="I52" s="66" t="inlineStr">
        <is>
          <t xml:space="preserve"> besoins élevés en bore</t>
        </is>
      </c>
      <c r="J52" t="n">
        <v>120</v>
      </c>
      <c r="K52" t="n">
        <v>120</v>
      </c>
      <c r="L52" t="n">
        <v>60</v>
      </c>
      <c r="M52" t="n">
        <v>60</v>
      </c>
      <c r="N52" t="n">
        <v>200</v>
      </c>
      <c r="O52" t="n">
        <v>200</v>
      </c>
      <c r="P52" t="n">
        <v>25</v>
      </c>
      <c r="Q52" t="n">
        <v>30</v>
      </c>
    </row>
    <row r="53" ht="30" customHeight="1" s="38">
      <c r="A53" s="96" t="n"/>
      <c r="B53" s="64" t="inlineStr">
        <is>
          <t>Blette</t>
        </is>
      </c>
      <c r="C53" s="83">
        <f>IFERROR(IF(J53=K53,ROUND($C$3*J53/10,0),ROUND($C$3*J53/10,0)&amp;"–"&amp;ROUND($C$3*K53/10,0)),"—")</f>
        <v/>
      </c>
      <c r="D53" s="83">
        <f>IFERROR(IF(L53=M53,ROUND($C$3*L53/10,0),ROUND($C$3*L53/10,0)&amp;"–"&amp;ROUND($C$3*M53/10,0)),"—")</f>
        <v/>
      </c>
      <c r="E53" s="83">
        <f>IFERROR(IF(N53=O53,ROUND($C$3*N53/10,0),ROUND($C$3*N53/10,0)&amp;"–"&amp;ROUND($C$3*O53/10,0)),"—")</f>
        <v/>
      </c>
      <c r="F53" s="84">
        <f>IFERROR(IF(P53=Q53,ROUND($C$3*P53/10,1),ROUND($C$3*P53/10,1)&amp;"–"&amp;ROUND($C$3*Q53/10,1)),"—")</f>
        <v/>
      </c>
      <c r="G53" s="85" t="inlineStr">
        <is>
          <t xml:space="preserve"> N 150 / P 50 / K 180 U/ha</t>
        </is>
      </c>
      <c r="H53" s="66" t="inlineStr">
        <is>
          <t>25 t/ha compost mûr</t>
        </is>
      </c>
      <c r="I53" s="66" t="inlineStr">
        <is>
          <t xml:space="preserve">Moy. gourmande </t>
        </is>
      </c>
      <c r="J53" t="n">
        <v>150</v>
      </c>
      <c r="K53" t="n">
        <v>150</v>
      </c>
      <c r="L53" t="n">
        <v>50</v>
      </c>
      <c r="M53" t="n">
        <v>50</v>
      </c>
      <c r="N53" t="n">
        <v>180</v>
      </c>
      <c r="O53" t="n">
        <v>180</v>
      </c>
      <c r="P53" t="n">
        <v>25</v>
      </c>
      <c r="Q53" t="n">
        <v>25</v>
      </c>
    </row>
    <row r="54" ht="30" customHeight="1" s="38">
      <c r="A54" s="96" t="n"/>
      <c r="B54" s="64" t="inlineStr">
        <is>
          <t>Panais</t>
        </is>
      </c>
      <c r="C54" s="83">
        <f>IFERROR(IF(J54=K54,ROUND($C$3*J54/10,0),ROUND($C$3*J54/10,0)&amp;"–"&amp;ROUND($C$3*K54/10,0)),"—")</f>
        <v/>
      </c>
      <c r="D54" s="83">
        <f>IFERROR(IF(L54=M54,ROUND($C$3*L54/10,0),ROUND($C$3*L54/10,0)&amp;"–"&amp;ROUND($C$3*M54/10,0)),"—")</f>
        <v/>
      </c>
      <c r="E54" s="83">
        <f>IFERROR(IF(N54=O54,ROUND($C$3*N54/10,0),ROUND($C$3*N54/10,0)&amp;"–"&amp;ROUND($C$3*O54/10,0)),"—")</f>
        <v/>
      </c>
      <c r="F54" s="84" t="inlineStr">
        <is>
          <t>n.c.</t>
        </is>
      </c>
      <c r="G54" s="86" t="inlineStr">
        <is>
          <t xml:space="preserve">N 60 / P 80 / K 200 U/ha </t>
        </is>
      </c>
      <c r="H54" s="66" t="inlineStr">
        <is>
          <t>fumure fraîche DÉCONSEILLÉE, privilégier compost décomposé</t>
        </is>
      </c>
      <c r="I54" s="66" t="n"/>
      <c r="J54" t="n">
        <v>60</v>
      </c>
      <c r="K54" t="n">
        <v>60</v>
      </c>
      <c r="L54" t="n">
        <v>80</v>
      </c>
      <c r="M54" t="n">
        <v>80</v>
      </c>
      <c r="N54" t="n">
        <v>200</v>
      </c>
      <c r="O54" t="n">
        <v>200</v>
      </c>
      <c r="P54" t="n">
        <v>0</v>
      </c>
      <c r="Q54" t="n">
        <v>0</v>
      </c>
    </row>
    <row r="55" ht="30" customHeight="1" s="38">
      <c r="A55" s="97" t="n"/>
      <c r="B55" s="64" t="inlineStr">
        <is>
          <t>Radis noir</t>
        </is>
      </c>
      <c r="C55" s="83">
        <f>IFERROR(IF(J55=K55,ROUND($C$3*J55/10,0),ROUND($C$3*J55/10,0)&amp;"–"&amp;ROUND($C$3*K55/10,0)),"—")</f>
        <v/>
      </c>
      <c r="D55" s="83">
        <f>IFERROR(IF(L55=M55,ROUND($C$3*L55/10,0),ROUND($C$3*L55/10,0)&amp;"–"&amp;ROUND($C$3*M55/10,0)),"—")</f>
        <v/>
      </c>
      <c r="E55" s="83">
        <f>IFERROR(IF(N55=O55,ROUND($C$3*N55/10,0),ROUND($C$3*N55/10,0)&amp;"–"&amp;ROUND($C$3*O55/10,0)),"—")</f>
        <v/>
      </c>
      <c r="F55" s="84" t="inlineStr">
        <is>
          <t>n.c.</t>
        </is>
      </c>
      <c r="G55" s="86" t="inlineStr">
        <is>
          <t>N 70 / P 50 / K 120 U/ha</t>
        </is>
      </c>
      <c r="H55" s="66" t="inlineStr">
        <is>
          <t>compost mûr si sol pauvre</t>
        </is>
      </c>
      <c r="I55" s="66" t="n"/>
      <c r="J55" t="n">
        <v>70</v>
      </c>
      <c r="K55" t="n">
        <v>70</v>
      </c>
      <c r="L55" t="n">
        <v>50</v>
      </c>
      <c r="M55" t="n">
        <v>50</v>
      </c>
      <c r="N55" t="n">
        <v>120</v>
      </c>
      <c r="O55" t="n">
        <v>120</v>
      </c>
      <c r="P55" t="n">
        <v>0</v>
      </c>
      <c r="Q55" t="n">
        <v>0</v>
      </c>
    </row>
    <row r="56" ht="8" customHeight="1" s="38">
      <c r="A56" s="37" t="n"/>
      <c r="B56" s="37" t="n"/>
      <c r="G56" s="11" t="n"/>
      <c r="H56" s="34" t="n"/>
      <c r="I56" s="34" t="n"/>
    </row>
    <row r="57" ht="30" customHeight="1" s="38">
      <c r="A57" s="78" t="inlineStr">
        <is>
          <t>Autres</t>
        </is>
      </c>
      <c r="B57" s="64" t="inlineStr">
        <is>
          <t>Maïs doux</t>
        </is>
      </c>
      <c r="C57" s="83">
        <f>IFERROR(IF(J57=K57,ROUND($C$3*J57/10,0),ROUND($C$3*J57/10,0)&amp;"–"&amp;ROUND($C$3*K57/10,0)),"—")</f>
        <v/>
      </c>
      <c r="D57" s="83">
        <f>IFERROR(IF(L57=M57,ROUND($C$3*L57/10,0),ROUND($C$3*L57/10,0)&amp;"–"&amp;ROUND($C$3*M57/10,0)),"—")</f>
        <v/>
      </c>
      <c r="E57" s="83">
        <f>IFERROR(IF(N57=O57,ROUND($C$3*N57/10,0),ROUND($C$3*N57/10,0)&amp;"–"&amp;ROUND($C$3*O57/10,0)),"—")</f>
        <v/>
      </c>
      <c r="F57" s="84">
        <f>IFERROR(IF(P57=Q57,ROUND($C$3*P57/10,1),ROUND($C$3*P57/10,1)&amp;"–"&amp;ROUND($C$3*Q57/10,1)),"—")</f>
        <v/>
      </c>
      <c r="G57" s="86" t="inlineStr">
        <is>
          <t xml:space="preserve"> N 180 / P 60 / K 150 U/ha</t>
        </is>
      </c>
      <c r="H57" s="66" t="inlineStr">
        <is>
          <t>30 t/ha fumier composté OU compost mûr</t>
        </is>
      </c>
      <c r="I57" s="66" t="inlineStr">
        <is>
          <t xml:space="preserve">Très gourmand en N </t>
        </is>
      </c>
      <c r="J57" t="n">
        <v>180</v>
      </c>
      <c r="K57" t="n">
        <v>180</v>
      </c>
      <c r="L57" t="n">
        <v>60</v>
      </c>
      <c r="M57" t="n">
        <v>60</v>
      </c>
      <c r="N57" t="n">
        <v>150</v>
      </c>
      <c r="O57" t="n">
        <v>150</v>
      </c>
      <c r="P57" t="n">
        <v>30</v>
      </c>
      <c r="Q57" t="n">
        <v>30</v>
      </c>
    </row>
    <row r="58" ht="30" customHeight="1" s="38">
      <c r="A58" s="96" t="n"/>
      <c r="B58" s="64" t="inlineStr">
        <is>
          <t>Fenouil</t>
        </is>
      </c>
      <c r="C58" s="83">
        <f>IFERROR(IF(J58=K58,ROUND($C$3*J58/10,0),ROUND($C$3*J58/10,0)&amp;"–"&amp;ROUND($C$3*K58/10,0)),"—")</f>
        <v/>
      </c>
      <c r="D58" s="83">
        <f>IFERROR(IF(L58=M58,ROUND($C$3*L58/10,0),ROUND($C$3*L58/10,0)&amp;"–"&amp;ROUND($C$3*M58/10,0)),"—")</f>
        <v/>
      </c>
      <c r="E58" s="83">
        <f>IFERROR(IF(N58=O58,ROUND($C$3*N58/10,0),ROUND($C$3*N58/10,0)&amp;"–"&amp;ROUND($C$3*O58/10,0)),"—")</f>
        <v/>
      </c>
      <c r="F58" s="84">
        <f>IFERROR(IF(P58=Q58,ROUND($C$3*P58/10,1),ROUND($C$3*P58/10,1)&amp;"–"&amp;ROUND($C$3*Q58/10,1)),"—")</f>
        <v/>
      </c>
      <c r="G58" s="85" t="inlineStr">
        <is>
          <t>N 180 / P 60 / K 150 U/ha</t>
        </is>
      </c>
      <c r="H58" s="66" t="inlineStr">
        <is>
          <t>30 t/ha fumier composté</t>
        </is>
      </c>
      <c r="I58" s="66" t="n"/>
      <c r="J58" t="n">
        <v>180</v>
      </c>
      <c r="K58" t="n">
        <v>180</v>
      </c>
      <c r="L58" t="n">
        <v>60</v>
      </c>
      <c r="M58" t="n">
        <v>60</v>
      </c>
      <c r="N58" t="n">
        <v>150</v>
      </c>
      <c r="O58" t="n">
        <v>150</v>
      </c>
      <c r="P58" t="n">
        <v>30</v>
      </c>
      <c r="Q58" t="n">
        <v>30</v>
      </c>
    </row>
    <row r="59" ht="30" customHeight="1" s="38">
      <c r="A59" s="96" t="n"/>
      <c r="B59" s="64" t="inlineStr">
        <is>
          <t>Céleri branche</t>
        </is>
      </c>
      <c r="C59" s="83">
        <f>IFERROR(IF(J59=K59,ROUND($C$3*J59/10,0),ROUND($C$3*J59/10,0)&amp;"–"&amp;ROUND($C$3*K59/10,0)),"—")</f>
        <v/>
      </c>
      <c r="D59" s="83">
        <f>IFERROR(IF(L59=M59,ROUND($C$3*L59/10,0),ROUND($C$3*L59/10,0)&amp;"–"&amp;ROUND($C$3*M59/10,0)),"—")</f>
        <v/>
      </c>
      <c r="E59" s="83">
        <f>IFERROR(IF(N59=O59,ROUND($C$3*N59/10,0),ROUND($C$3*N59/10,0)&amp;"–"&amp;ROUND($C$3*O59/10,0)),"—")</f>
        <v/>
      </c>
      <c r="F59" s="84">
        <f>IFERROR(IF(P59=Q59,ROUND($C$3*P59/10,1),ROUND($C$3*P59/10,1)&amp;"–"&amp;ROUND($C$3*Q59/10,1)),"—")</f>
        <v/>
      </c>
      <c r="G59" s="85" t="inlineStr">
        <is>
          <t xml:space="preserve"> N 250 / P 100 / K 400 U/ha </t>
        </is>
      </c>
      <c r="H59" s="66" t="inlineStr">
        <is>
          <t>30–50 t/ha fumier composté</t>
        </is>
      </c>
      <c r="I59" s="66" t="inlineStr">
        <is>
          <t>Très gourmand ; besoins élevés en B et Ca (prévenir cœur noir)</t>
        </is>
      </c>
      <c r="J59" t="n">
        <v>250</v>
      </c>
      <c r="K59" t="n">
        <v>250</v>
      </c>
      <c r="L59" t="n">
        <v>100</v>
      </c>
      <c r="M59" t="n">
        <v>100</v>
      </c>
      <c r="N59" t="n">
        <v>400</v>
      </c>
      <c r="O59" t="n">
        <v>400</v>
      </c>
      <c r="P59" t="n">
        <v>30</v>
      </c>
      <c r="Q59" t="n">
        <v>50</v>
      </c>
    </row>
    <row r="60" ht="30" customHeight="1" s="38">
      <c r="A60" s="96" t="n"/>
      <c r="B60" s="64" t="inlineStr">
        <is>
          <t>Céleri-rave</t>
        </is>
      </c>
      <c r="C60" s="83">
        <f>IFERROR(IF(J60=K60,ROUND($C$3*J60/10,0),ROUND($C$3*J60/10,0)&amp;"–"&amp;ROUND($C$3*K60/10,0)),"—")</f>
        <v/>
      </c>
      <c r="D60" s="83">
        <f>IFERROR(IF(L60=M60,ROUND($C$3*L60/10,0),ROUND($C$3*L60/10,0)&amp;"–"&amp;ROUND($C$3*M60/10,0)),"—")</f>
        <v/>
      </c>
      <c r="E60" s="83">
        <f>IFERROR(IF(N60=O60,ROUND($C$3*N60/10,0),ROUND($C$3*N60/10,0)&amp;"–"&amp;ROUND($C$3*O60/10,0)),"—")</f>
        <v/>
      </c>
      <c r="F60" s="84">
        <f>IFERROR(IF(P60=Q60,ROUND($C$3*P60/10,1),ROUND($C$3*P60/10,1)&amp;"–"&amp;ROUND($C$3*Q60/10,1)),"—")</f>
        <v/>
      </c>
      <c r="G60" s="85" t="inlineStr">
        <is>
          <t xml:space="preserve">N 200 / P 80 / K 350 U/ha </t>
        </is>
      </c>
      <c r="H60" s="66" t="inlineStr">
        <is>
          <t>30–40 t/ha fumier composté</t>
        </is>
      </c>
      <c r="I60" s="66" t="inlineStr">
        <is>
          <t xml:space="preserve"> besoins B importants</t>
        </is>
      </c>
      <c r="J60" t="n">
        <v>200</v>
      </c>
      <c r="K60" t="n">
        <v>200</v>
      </c>
      <c r="L60" t="n">
        <v>80</v>
      </c>
      <c r="M60" t="n">
        <v>80</v>
      </c>
      <c r="N60" t="n">
        <v>350</v>
      </c>
      <c r="O60" t="n">
        <v>350</v>
      </c>
      <c r="P60" t="n">
        <v>30</v>
      </c>
      <c r="Q60" t="n">
        <v>40</v>
      </c>
    </row>
    <row r="61" ht="30" customHeight="1" s="38">
      <c r="A61" s="97" t="n"/>
      <c r="B61" s="64" t="inlineStr">
        <is>
          <t>Chicorée</t>
        </is>
      </c>
      <c r="C61" s="83">
        <f>IFERROR(IF(J61=K61,ROUND($C$3*J61/10,0),ROUND($C$3*J61/10,0)&amp;"–"&amp;ROUND($C$3*K61/10,0)),"—")</f>
        <v/>
      </c>
      <c r="D61" s="83">
        <f>IFERROR(IF(L61=M61,ROUND($C$3*L61/10,0),ROUND($C$3*L61/10,0)&amp;"–"&amp;ROUND($C$3*M61/10,0)),"—")</f>
        <v/>
      </c>
      <c r="E61" s="83">
        <f>IFERROR(IF(N61=O61,ROUND($C$3*N61/10,0),ROUND($C$3*N61/10,0)&amp;"–"&amp;ROUND($C$3*O61/10,0)),"—")</f>
        <v/>
      </c>
      <c r="F61" s="84">
        <f>IFERROR(IF(P61=Q61,ROUND($C$3*P61/10,1),ROUND($C$3*P61/10,1)&amp;"–"&amp;ROUND($C$3*Q61/10,1)),"—")</f>
        <v/>
      </c>
      <c r="G61" s="85" t="inlineStr">
        <is>
          <t>N 80–120 / P 40 / K 150 U/ha</t>
        </is>
      </c>
      <c r="H61" s="66" t="inlineStr">
        <is>
          <t>20–30 t/ha compost mûr</t>
        </is>
      </c>
      <c r="I61" s="66" t="n"/>
      <c r="J61" t="n">
        <v>80</v>
      </c>
      <c r="K61" t="n">
        <v>120</v>
      </c>
      <c r="L61" t="n">
        <v>40</v>
      </c>
      <c r="M61" t="n">
        <v>40</v>
      </c>
      <c r="N61" t="n">
        <v>150</v>
      </c>
      <c r="O61" t="n">
        <v>150</v>
      </c>
      <c r="P61" t="n">
        <v>20</v>
      </c>
      <c r="Q61" t="n">
        <v>30</v>
      </c>
    </row>
  </sheetData>
  <mergeCells count="10">
    <mergeCell ref="A26:A34"/>
    <mergeCell ref="A57:A61"/>
    <mergeCell ref="A43:A48"/>
    <mergeCell ref="A1:I1"/>
    <mergeCell ref="A8:A14"/>
    <mergeCell ref="A21:A24"/>
    <mergeCell ref="A50:A55"/>
    <mergeCell ref="A36:A41"/>
    <mergeCell ref="A4:I4"/>
    <mergeCell ref="A16:A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2" sqref="C2"/>
      <selection pane="bottomLeft" activeCell="A1" sqref="A1"/>
      <selection pane="bottomRight" activeCell="C2" sqref="C2"/>
    </sheetView>
  </sheetViews>
  <sheetFormatPr baseColWidth="8" defaultRowHeight="15"/>
  <cols>
    <col width="22" customWidth="1" style="38" min="1" max="1"/>
    <col width="22" customWidth="1" style="38" min="2" max="2"/>
    <col width="32" customWidth="1" style="38" min="3" max="3"/>
    <col width="50" customWidth="1" style="38" min="4" max="4"/>
    <col width="32" customWidth="1" style="38" min="5" max="5"/>
    <col width="50" customWidth="1" style="38" min="6" max="6"/>
  </cols>
  <sheetData>
    <row r="1" ht="35" customHeight="1" s="38">
      <c r="A1" s="88" t="inlineStr">
        <is>
          <t>Famille</t>
        </is>
      </c>
      <c r="B1" s="88" t="inlineStr">
        <is>
          <t>Espèce</t>
        </is>
      </c>
      <c r="C1" s="88" t="inlineStr">
        <is>
          <t>Maladie</t>
        </is>
      </c>
      <c r="D1" s="88" t="inlineStr">
        <is>
          <t>Lutte (maladie)</t>
        </is>
      </c>
      <c r="E1" s="88" t="inlineStr">
        <is>
          <t>Ravageur</t>
        </is>
      </c>
      <c r="F1" s="88" t="inlineStr">
        <is>
          <t>Lutte (ravageur)</t>
        </is>
      </c>
    </row>
    <row r="2" ht="36" customHeight="1" s="38">
      <c r="A2" s="89" t="inlineStr">
        <is>
          <t>Cucurbitacées</t>
        </is>
      </c>
      <c r="B2" s="64" t="inlineStr">
        <is>
          <t>Courge</t>
        </is>
      </c>
      <c r="C2" s="90" t="inlineStr">
        <is>
          <t>Oïdium</t>
        </is>
      </c>
      <c r="D2" s="91" t="inlineStr">
        <is>
          <t>Soufre mouillable (KUMULUS DF) ; bicarbonate de K (Vitisan) ; HE orange douce (Limocide) ; aération ; variétés tolérantes</t>
        </is>
      </c>
      <c r="E2" s="92" t="inlineStr">
        <is>
          <t>Pucerons</t>
        </is>
      </c>
      <c r="F2" s="93" t="inlineStr">
        <is>
          <t>Savon noir ; neemazal ; panneaux jaunes englués ; auxiliaires (Aphidius, syrphes, coccinelles)</t>
        </is>
      </c>
    </row>
    <row r="3" ht="36" customHeight="1" s="38">
      <c r="A3" s="96" t="n"/>
      <c r="B3" s="96" t="n"/>
      <c r="C3" s="90" t="inlineStr">
        <is>
          <t>Mildiou</t>
        </is>
      </c>
      <c r="D3" s="91" t="inlineStr">
        <is>
          <t>Cuivre préventif (BB 2 kg/ha) ; éviter feuillage humide ; rotation 5+ ans ; arrosage matinal</t>
        </is>
      </c>
      <c r="E3" s="92" t="inlineStr">
        <is>
          <t>Limaces et escargots</t>
        </is>
      </c>
      <c r="F3" s="93" t="inlineStr">
        <is>
          <t>Piégeage (planches, tuiles) ; ferramol ; biodiversité (chauve-souris, oiseaux)</t>
        </is>
      </c>
    </row>
    <row r="4" ht="36" customHeight="1" s="38">
      <c r="A4" s="96" t="n"/>
      <c r="B4" s="96" t="n"/>
      <c r="C4" s="90" t="inlineStr">
        <is>
          <t>Pourriture grise (Botrytis)</t>
        </is>
      </c>
      <c r="D4" s="91" t="inlineStr">
        <is>
          <t>Aération ; éviter blessures ; cuivre après grêle ; éliminer plants infectés</t>
        </is>
      </c>
      <c r="E4" s="92" t="inlineStr">
        <is>
          <t>Punaise verte (Nezara viridula)</t>
        </is>
      </c>
      <c r="F4" s="93" t="inlineStr">
        <is>
          <t>Surveillance ; ramassage manuel ; filet anti-insectes au stade jeune</t>
        </is>
      </c>
    </row>
    <row r="5" ht="36" customHeight="1" s="38">
      <c r="A5" s="97" t="n"/>
      <c r="B5" s="97" t="n"/>
      <c r="C5" s="90" t="inlineStr">
        <is>
          <t>Virus de la mosaïque (CMV)</t>
        </is>
      </c>
      <c r="D5" s="91" t="inlineStr">
        <is>
          <t>Lutter contre pucerons vecteurs ; éliminer adventices hôtes ; semences saines</t>
        </is>
      </c>
      <c r="E5" s="92" t="inlineStr">
        <is>
          <t>Taupin (jeunes plants)</t>
        </is>
      </c>
      <c r="F5" s="93" t="inlineStr">
        <is>
          <t>Binages répétés printemps/été ; semis de crucifères en couverture (effet répulsif glucosinolates) ; tourteau de neem ou ricin</t>
        </is>
      </c>
    </row>
    <row r="6" ht="36" customHeight="1" s="38">
      <c r="A6" s="89" t="inlineStr">
        <is>
          <t>Cucurbitacées</t>
        </is>
      </c>
      <c r="B6" s="64" t="inlineStr">
        <is>
          <t>Potiron</t>
        </is>
      </c>
      <c r="C6" s="90" t="inlineStr">
        <is>
          <t>Oïdium</t>
        </is>
      </c>
      <c r="D6" s="91" t="inlineStr">
        <is>
          <t>Soufre mouillable ; bicarbonate de K ; aération</t>
        </is>
      </c>
      <c r="E6" s="92" t="inlineStr">
        <is>
          <t>Pucerons</t>
        </is>
      </c>
      <c r="F6" s="93" t="inlineStr">
        <is>
          <t>Savon noir ; auxiliaires (Aphidius, coccinelles)</t>
        </is>
      </c>
    </row>
    <row r="7" ht="36" customHeight="1" s="38">
      <c r="A7" s="96" t="n"/>
      <c r="B7" s="96" t="n"/>
      <c r="C7" s="90" t="inlineStr">
        <is>
          <t>Mildiou</t>
        </is>
      </c>
      <c r="D7" s="91" t="inlineStr">
        <is>
          <t>Cuivre préventif ; rotation 5+ ans ; éviter feuillage humide</t>
        </is>
      </c>
      <c r="E7" s="92" t="inlineStr">
        <is>
          <t>Limaces</t>
        </is>
      </c>
      <c r="F7" s="93" t="inlineStr">
        <is>
          <t>Piégeage ; ferramol ; biodiversité</t>
        </is>
      </c>
    </row>
    <row r="8" ht="36" customHeight="1" s="38">
      <c r="A8" s="96" t="n"/>
      <c r="B8" s="96" t="n"/>
      <c r="C8" s="90" t="inlineStr">
        <is>
          <t>Anthracnose</t>
        </is>
      </c>
      <c r="D8" s="91" t="inlineStr">
        <is>
          <t>Rotation 5+ ans ; semences saines ; arrosage goutte-à-goutte ; éliminer plants infectés</t>
        </is>
      </c>
      <c r="E8" s="92" t="inlineStr">
        <is>
          <t>Punaises</t>
        </is>
      </c>
      <c r="F8" s="93" t="inlineStr">
        <is>
          <t>Surveillance ; ramassage manuel</t>
        </is>
      </c>
    </row>
    <row r="9" ht="36" customHeight="1" s="38">
      <c r="A9" s="97" t="n"/>
      <c r="B9" s="97" t="n"/>
      <c r="C9" s="90" t="inlineStr">
        <is>
          <t>Pourriture grise</t>
        </is>
      </c>
      <c r="D9" s="91" t="inlineStr">
        <is>
          <t>Aération ; éviter blessures ; éliminer plants atteints</t>
        </is>
      </c>
      <c r="E9" s="92" t="inlineStr">
        <is>
          <t>Taupin</t>
        </is>
      </c>
      <c r="F9" s="93" t="inlineStr">
        <is>
          <t>Binages répétés ; tourteau de neem</t>
        </is>
      </c>
    </row>
    <row r="10" ht="36" customHeight="1" s="38">
      <c r="A10" s="89" t="inlineStr">
        <is>
          <t>Cucurbitacées</t>
        </is>
      </c>
      <c r="B10" s="64" t="inlineStr">
        <is>
          <t>Potimarron</t>
        </is>
      </c>
      <c r="C10" s="90" t="inlineStr">
        <is>
          <t>Oïdium</t>
        </is>
      </c>
      <c r="D10" s="91" t="inlineStr">
        <is>
          <t>Soufre mouillable ; aération ; variétés tolérantes</t>
        </is>
      </c>
      <c r="E10" s="92" t="inlineStr">
        <is>
          <t>Pucerons</t>
        </is>
      </c>
      <c r="F10" s="93" t="inlineStr">
        <is>
          <t>Savon noir ; auxiliaires</t>
        </is>
      </c>
    </row>
    <row r="11" ht="36" customHeight="1" s="38">
      <c r="A11" s="96" t="n"/>
      <c r="B11" s="96" t="n"/>
      <c r="C11" s="90" t="inlineStr">
        <is>
          <t>Mildiou</t>
        </is>
      </c>
      <c r="D11" s="91" t="inlineStr">
        <is>
          <t>Cuivre préventif ; rotation 5+ ans</t>
        </is>
      </c>
      <c r="E11" s="92" t="inlineStr">
        <is>
          <t>Limaces</t>
        </is>
      </c>
      <c r="F11" s="93" t="inlineStr">
        <is>
          <t>Piégeage ; ferramol</t>
        </is>
      </c>
    </row>
    <row r="12" ht="36" customHeight="1" s="38">
      <c r="A12" s="96" t="n"/>
      <c r="B12" s="96" t="n"/>
      <c r="C12" s="90" t="inlineStr">
        <is>
          <t>Pourriture grise</t>
        </is>
      </c>
      <c r="D12" s="91" t="inlineStr">
        <is>
          <t>Aération ; éliminer plants atteints</t>
        </is>
      </c>
      <c r="E12" s="92" t="inlineStr">
        <is>
          <t>Punaises</t>
        </is>
      </c>
      <c r="F12" s="93" t="inlineStr">
        <is>
          <t>Ramassage manuel</t>
        </is>
      </c>
    </row>
    <row r="13" ht="36" customHeight="1" s="38">
      <c r="A13" s="97" t="n"/>
      <c r="B13" s="97" t="n"/>
      <c r="C13" s="90" t="inlineStr">
        <is>
          <t>Virus de la mosaïque</t>
        </is>
      </c>
      <c r="D13" s="91" t="inlineStr">
        <is>
          <t>Lutte contre pucerons vecteurs ; semences saines</t>
        </is>
      </c>
      <c r="E13" s="92" t="inlineStr">
        <is>
          <t>Taupin</t>
        </is>
      </c>
      <c r="F13" s="93" t="inlineStr">
        <is>
          <t>Binages ; tourteau de neem</t>
        </is>
      </c>
    </row>
    <row r="14" ht="36" customHeight="1" s="38">
      <c r="A14" s="89" t="inlineStr">
        <is>
          <t>Cucurbitacées</t>
        </is>
      </c>
      <c r="B14" s="64" t="inlineStr">
        <is>
          <t>Courgette</t>
        </is>
      </c>
      <c r="C14" s="90" t="inlineStr">
        <is>
          <t>Oïdium (très fréquent)</t>
        </is>
      </c>
      <c r="D14" s="91" t="inlineStr">
        <is>
          <t>Soufre mouillable KUMULUS DF (max 7,5 kg/ha) ; bicarbonate de K (Vitisan) ; HE orange douce ; aération</t>
        </is>
      </c>
      <c r="E14" s="92" t="inlineStr">
        <is>
          <t>Pucerons (vecteurs de virus)</t>
        </is>
      </c>
      <c r="F14" s="93" t="inlineStr">
        <is>
          <t>Savon noir ; PBI Aphidius colemani ; panneaux jaunes ; éviter excès azote</t>
        </is>
      </c>
    </row>
    <row r="15" ht="36" customHeight="1" s="38">
      <c r="A15" s="96" t="n"/>
      <c r="B15" s="96" t="n"/>
      <c r="C15" s="90" t="inlineStr">
        <is>
          <t>Mildiou</t>
        </is>
      </c>
      <c r="D15" s="91" t="inlineStr">
        <is>
          <t>Cuivre préventif ; éviter feuillage humide ; rotation</t>
        </is>
      </c>
      <c r="E15" s="92" t="inlineStr">
        <is>
          <t>Aleurodes</t>
        </is>
      </c>
      <c r="F15" s="93" t="inlineStr">
        <is>
          <t>PBI Encarsia formosa, Macrolophus ; panneaux jaunes englués</t>
        </is>
      </c>
    </row>
    <row r="16" ht="36" customHeight="1" s="38">
      <c r="A16" s="96" t="n"/>
      <c r="B16" s="96" t="n"/>
      <c r="C16" s="90" t="inlineStr">
        <is>
          <t>Virus de la mosaïque (CMV, ZYMV)</t>
        </is>
      </c>
      <c r="D16" s="91" t="inlineStr">
        <is>
          <t>Lutter contre pucerons vecteurs ; panneaux jaunes englués ; éliminer plants infectés</t>
        </is>
      </c>
      <c r="E16" s="92" t="inlineStr">
        <is>
          <t>Acariens (sous abri)</t>
        </is>
      </c>
      <c r="F16" s="93" t="inlineStr">
        <is>
          <t>Bassiner pour augmenter hygrométrie ; PBI Phytoseiulus ; soufre poudre modéré</t>
        </is>
      </c>
    </row>
    <row r="17" ht="36" customHeight="1" s="38">
      <c r="A17" s="97" t="n"/>
      <c r="B17" s="97" t="n"/>
      <c r="C17" s="90" t="inlineStr">
        <is>
          <t>Pourriture grise</t>
        </is>
      </c>
      <c r="D17" s="91" t="inlineStr">
        <is>
          <t>Aération ; éviter blessures</t>
        </is>
      </c>
      <c r="E17" s="92" t="inlineStr">
        <is>
          <t>Thrips</t>
        </is>
      </c>
      <c r="F17" s="93" t="inlineStr">
        <is>
          <t>PBI Orius ; panneaux englués bleus ; hygrométrie élevée</t>
        </is>
      </c>
    </row>
    <row r="18" ht="36" customHeight="1" s="38">
      <c r="A18" s="89" t="inlineStr">
        <is>
          <t>Cucurbitacées</t>
        </is>
      </c>
      <c r="B18" s="64" t="inlineStr">
        <is>
          <t>Concombre</t>
        </is>
      </c>
      <c r="C18" s="90" t="inlineStr">
        <is>
          <t>Oïdium</t>
        </is>
      </c>
      <c r="D18" s="91" t="inlineStr">
        <is>
          <t>Soufre mouillable ; bicarbonate de K ; aération</t>
        </is>
      </c>
      <c r="E18" s="92" t="inlineStr">
        <is>
          <t>Pucerons</t>
        </is>
      </c>
      <c r="F18" s="93" t="inlineStr">
        <is>
          <t>PBI Aphidius colemani ; savon noir ; panneaux jaunes</t>
        </is>
      </c>
    </row>
    <row r="19" ht="36" customHeight="1" s="38">
      <c r="A19" s="96" t="n"/>
      <c r="B19" s="96" t="n"/>
      <c r="C19" s="90" t="inlineStr">
        <is>
          <t>Mildiou (Pseudoperonospora cubensis)</t>
        </is>
      </c>
      <c r="D19" s="91" t="inlineStr">
        <is>
          <t>Cuivre préventif (10–25°C favorable) ; éviter feuillage humide</t>
        </is>
      </c>
      <c r="E19" s="92" t="inlineStr">
        <is>
          <t>Aleurodes</t>
        </is>
      </c>
      <c r="F19" s="93" t="inlineStr">
        <is>
          <t>PBI Encarsia formosa ; panneaux jaunes</t>
        </is>
      </c>
    </row>
    <row r="20" ht="36" customHeight="1" s="38">
      <c r="A20" s="96" t="n"/>
      <c r="B20" s="96" t="n"/>
      <c r="C20" s="90" t="inlineStr">
        <is>
          <t>Cladosporiose</t>
        </is>
      </c>
      <c r="D20" s="91" t="inlineStr">
        <is>
          <t>Aération sous abri ; éviter excès humidité ; éliminer feuilles atteintes</t>
        </is>
      </c>
      <c r="E20" s="92" t="inlineStr">
        <is>
          <t>Acariens tétranyques</t>
        </is>
      </c>
      <c r="F20" s="93" t="inlineStr">
        <is>
          <t>Bassiner ; PBI Phytoseiulus, Amblyseius swirskii ; soufre modéré</t>
        </is>
      </c>
    </row>
    <row r="21" ht="36" customHeight="1" s="38">
      <c r="A21" s="96" t="n"/>
      <c r="B21" s="96" t="n"/>
      <c r="C21" s="90" t="inlineStr">
        <is>
          <t>Pythium (fonte des semis)</t>
        </is>
      </c>
      <c r="D21" s="91" t="inlineStr">
        <is>
          <t>Substrat sain ; éviter excès d'eau au semis ; semences saines</t>
        </is>
      </c>
      <c r="E21" s="92" t="inlineStr">
        <is>
          <t>Thrips</t>
        </is>
      </c>
      <c r="F21" s="93" t="inlineStr">
        <is>
          <t>PBI Orius ; panneaux bleus</t>
        </is>
      </c>
    </row>
    <row r="22" ht="36" customHeight="1" s="38">
      <c r="A22" s="97" t="n"/>
      <c r="B22" s="97" t="n"/>
      <c r="C22" s="90" t="inlineStr">
        <is>
          <t>Virus (CMV)</t>
        </is>
      </c>
      <c r="D22" s="91" t="inlineStr">
        <is>
          <t>Lutter contre pucerons ; semences saines</t>
        </is>
      </c>
      <c r="E22" s="95" t="n"/>
      <c r="F22" s="95" t="n"/>
    </row>
    <row r="23" ht="36" customHeight="1" s="38">
      <c r="A23" s="89" t="inlineStr">
        <is>
          <t>Cucurbitacées</t>
        </is>
      </c>
      <c r="B23" s="64" t="inlineStr">
        <is>
          <t>Melon</t>
        </is>
      </c>
      <c r="C23" s="90" t="inlineStr">
        <is>
          <t>Oïdium</t>
        </is>
      </c>
      <c r="D23" s="91" t="inlineStr">
        <is>
          <t>Soufre micronisé KUMULUS DF (max 7,5 kg/ha, 6 applic.) ; soufre triture OIDIOL POUDRAGE</t>
        </is>
      </c>
      <c r="E23" s="92" t="inlineStr">
        <is>
          <t>Pucerons (Aphis gossypii)</t>
        </is>
      </c>
      <c r="F23" s="93" t="inlineStr">
        <is>
          <t>PBI Aphidius colemani ; savon noir ; argile ; panneaux jaunes</t>
        </is>
      </c>
    </row>
    <row r="24" ht="36" customHeight="1" s="38">
      <c r="A24" s="96" t="n"/>
      <c r="B24" s="96" t="n"/>
      <c r="C24" s="90" t="inlineStr">
        <is>
          <t>Mildiou</t>
        </is>
      </c>
      <c r="D24" s="91" t="inlineStr">
        <is>
          <t>Cuivre préventif ; éviter feuillage humide</t>
        </is>
      </c>
      <c r="E24" s="92" t="inlineStr">
        <is>
          <t>Acariens</t>
        </is>
      </c>
      <c r="F24" s="93" t="inlineStr">
        <is>
          <t>Bassiner ; PBI Phytoseiulus ; soufre modéré</t>
        </is>
      </c>
    </row>
    <row r="25" ht="36" customHeight="1" s="38">
      <c r="A25" s="96" t="n"/>
      <c r="B25" s="96" t="n"/>
      <c r="C25" s="90" t="inlineStr">
        <is>
          <t>Fusariose</t>
        </is>
      </c>
      <c r="D25" s="91" t="inlineStr">
        <is>
          <t>Greffe sur porte-greffe résistant ; rotation longue ; sortir plants infectés</t>
        </is>
      </c>
      <c r="E25" s="92" t="inlineStr">
        <is>
          <t>Thrips</t>
        </is>
      </c>
      <c r="F25" s="93" t="inlineStr">
        <is>
          <t>PBI Orius ; panneaux bleus ; hygrométrie élevée</t>
        </is>
      </c>
    </row>
    <row r="26" ht="36" customHeight="1" s="38">
      <c r="A26" s="96" t="n"/>
      <c r="B26" s="96" t="n"/>
      <c r="C26" s="90" t="inlineStr">
        <is>
          <t>Bactériose</t>
        </is>
      </c>
      <c r="D26" s="91" t="inlineStr">
        <is>
          <t>Semences saines ; cuivre préventif après grêle ; éviter aspersion</t>
        </is>
      </c>
      <c r="E26" s="92" t="inlineStr">
        <is>
          <t>Aleurodes</t>
        </is>
      </c>
      <c r="F26" s="93" t="inlineStr">
        <is>
          <t>PBI Encarsia ; panneaux jaunes</t>
        </is>
      </c>
    </row>
    <row r="27" ht="36" customHeight="1" s="38">
      <c r="A27" s="96" t="n"/>
      <c r="B27" s="96" t="n"/>
      <c r="C27" s="90" t="inlineStr">
        <is>
          <t>Virus (CMV, WMV)</t>
        </is>
      </c>
      <c r="D27" s="91" t="inlineStr">
        <is>
          <t>Lutte contre pucerons ; semences saines</t>
        </is>
      </c>
      <c r="E27" s="92" t="inlineStr">
        <is>
          <t>Mouches mineuses</t>
        </is>
      </c>
      <c r="F27" s="93" t="inlineStr">
        <is>
          <t>Filet anti-insectes ; éliminer feuilles atteintes</t>
        </is>
      </c>
    </row>
    <row r="28" ht="36" customHeight="1" s="38">
      <c r="A28" s="97" t="n"/>
      <c r="B28" s="97" t="n"/>
      <c r="C28" s="90" t="inlineStr">
        <is>
          <t>Pourriture grise</t>
        </is>
      </c>
      <c r="D28" s="91" t="inlineStr">
        <is>
          <t>Aération ; éliminer plants atteints</t>
        </is>
      </c>
      <c r="E28" s="95" t="n"/>
      <c r="F28" s="95" t="n"/>
    </row>
    <row r="29" ht="36" customHeight="1" s="38">
      <c r="A29" s="89" t="inlineStr">
        <is>
          <t>Cucurbitacées</t>
        </is>
      </c>
      <c r="B29" s="64" t="inlineStr">
        <is>
          <t>Pastèque</t>
        </is>
      </c>
      <c r="C29" s="90" t="inlineStr">
        <is>
          <t>Oïdium</t>
        </is>
      </c>
      <c r="D29" s="91" t="inlineStr">
        <is>
          <t>Soufre mouillable ; aération</t>
        </is>
      </c>
      <c r="E29" s="92" t="inlineStr">
        <is>
          <t>Pucerons</t>
        </is>
      </c>
      <c r="F29" s="93" t="inlineStr">
        <is>
          <t>Savon noir ; auxiliaires</t>
        </is>
      </c>
    </row>
    <row r="30" ht="36" customHeight="1" s="38">
      <c r="A30" s="96" t="n"/>
      <c r="B30" s="96" t="n"/>
      <c r="C30" s="90" t="inlineStr">
        <is>
          <t>Mildiou</t>
        </is>
      </c>
      <c r="D30" s="91" t="inlineStr">
        <is>
          <t>Cuivre préventif ; rotation longue</t>
        </is>
      </c>
      <c r="E30" s="92" t="inlineStr">
        <is>
          <t>Acariens</t>
        </is>
      </c>
      <c r="F30" s="93" t="inlineStr">
        <is>
          <t>PBI Phytoseiulus ; bassiner</t>
        </is>
      </c>
    </row>
    <row r="31" ht="36" customHeight="1" s="38">
      <c r="A31" s="96" t="n"/>
      <c r="B31" s="96" t="n"/>
      <c r="C31" s="90" t="inlineStr">
        <is>
          <t>Fusariose</t>
        </is>
      </c>
      <c r="D31" s="91" t="inlineStr">
        <is>
          <t>Greffage si antécédent ; rotation longue</t>
        </is>
      </c>
      <c r="E31" s="92" t="inlineStr">
        <is>
          <t>Thrips</t>
        </is>
      </c>
      <c r="F31" s="93" t="inlineStr">
        <is>
          <t>PBI Orius ; panneaux bleus</t>
        </is>
      </c>
    </row>
    <row r="32" ht="36" customHeight="1" s="38">
      <c r="A32" s="96" t="n"/>
      <c r="B32" s="96" t="n"/>
      <c r="C32" s="90" t="inlineStr">
        <is>
          <t>Anthracnose</t>
        </is>
      </c>
      <c r="D32" s="91" t="inlineStr">
        <is>
          <t>Rotation 5+ ans ; semences saines ; arrosage goutte-à-goutte</t>
        </is>
      </c>
      <c r="E32" s="92" t="inlineStr">
        <is>
          <t>Aleurodes</t>
        </is>
      </c>
      <c r="F32" s="93" t="inlineStr">
        <is>
          <t>PBI Encarsia ; panneaux jaunes</t>
        </is>
      </c>
    </row>
    <row r="33" ht="36" customHeight="1" s="38">
      <c r="A33" s="97" t="n"/>
      <c r="B33" s="97" t="n"/>
      <c r="C33" s="90" t="inlineStr">
        <is>
          <t>Virus</t>
        </is>
      </c>
      <c r="D33" s="91" t="inlineStr">
        <is>
          <t>Lutte contre pucerons ; semences saines</t>
        </is>
      </c>
      <c r="E33" s="95" t="n"/>
      <c r="F33" s="95" t="n"/>
    </row>
    <row r="34" ht="36" customHeight="1" s="38">
      <c r="A34" s="89" t="inlineStr">
        <is>
          <t>Solanacées</t>
        </is>
      </c>
      <c r="B34" s="64" t="inlineStr">
        <is>
          <t>Tomate</t>
        </is>
      </c>
      <c r="C34" s="90" t="inlineStr">
        <is>
          <t>Mildiou (Phytophthora infestans, 17–20°C)</t>
        </is>
      </c>
      <c r="D34" s="91" t="inlineStr">
        <is>
          <t>Cuivre préventif (BB 2 kg/ha) ; en présence : 4 kg/ha (max 4 kg Cu/ha/an) ; éviter feuillage humide ; aération ; arrosage goutte-à-goutte</t>
        </is>
      </c>
      <c r="E34" s="92" t="inlineStr">
        <is>
          <t>Aleurodes (Bemisia tabaci)</t>
        </is>
      </c>
      <c r="F34" s="93" t="inlineStr">
        <is>
          <t>PBI Encarsia formosa, Macrolophus ; panneaux jaunes englués</t>
        </is>
      </c>
    </row>
    <row r="35" ht="36" customHeight="1" s="38">
      <c r="A35" s="96" t="n"/>
      <c r="B35" s="96" t="n"/>
      <c r="C35" s="90" t="inlineStr">
        <is>
          <t>Alternariose</t>
        </is>
      </c>
      <c r="D35" s="91" t="inlineStr">
        <is>
          <t>Semences saines ; rotation 5+ ans ; éliminer débris ; cuivre préventif</t>
        </is>
      </c>
      <c r="E35" s="92" t="inlineStr">
        <is>
          <t>Pucerons (Macrosiphum euphorbiae)</t>
        </is>
      </c>
      <c r="F35" s="93" t="inlineStr">
        <is>
          <t>PBI Aphidius ervi, Aphelinus ; savon noir</t>
        </is>
      </c>
    </row>
    <row r="36" ht="36" customHeight="1" s="38">
      <c r="A36" s="96" t="n"/>
      <c r="B36" s="96" t="n"/>
      <c r="C36" s="90" t="inlineStr">
        <is>
          <t>Cladosporiose</t>
        </is>
      </c>
      <c r="D36" s="91" t="inlineStr">
        <is>
          <t>Aération sous abri ; variétés résistantes ; éviter excès humidité</t>
        </is>
      </c>
      <c r="E36" s="92" t="inlineStr">
        <is>
          <t>Tuta absoluta</t>
        </is>
      </c>
      <c r="F36" s="93" t="inlineStr">
        <is>
          <t>Macrolophus 3 ind/m² + Trichogramma + Bt en soirée tous les 10 jours + confusion sexuelle ISONET (1 diff./10 m², renouvelé 120–150 j) + pièges phéromones</t>
        </is>
      </c>
    </row>
    <row r="37" ht="36" customHeight="1" s="38">
      <c r="A37" s="96" t="n"/>
      <c r="B37" s="96" t="n"/>
      <c r="C37" s="90" t="inlineStr">
        <is>
          <t>Oïdium</t>
        </is>
      </c>
      <c r="D37" s="91" t="inlineStr">
        <is>
          <t>Soufre mouillable ; bicarbonate de K (Vitisan)</t>
        </is>
      </c>
      <c r="E37" s="92" t="inlineStr">
        <is>
          <t>Acariens</t>
        </is>
      </c>
      <c r="F37" s="93" t="inlineStr">
        <is>
          <t>PBI Phytoseiulus ; bassiner ; soufre poudre modéré</t>
        </is>
      </c>
    </row>
    <row r="38" ht="36" customHeight="1" s="38">
      <c r="A38" s="96" t="n"/>
      <c r="B38" s="96" t="n"/>
      <c r="C38" s="90" t="inlineStr">
        <is>
          <t>Pourriture grise (Botrytis)</t>
        </is>
      </c>
      <c r="D38" s="91" t="inlineStr">
        <is>
          <t>Aération ; éviter blessures lors de la taille ; éliminer plants atteints</t>
        </is>
      </c>
      <c r="E38" s="92" t="inlineStr">
        <is>
          <t>Nématodes à galles (Meloidogyne)</t>
        </is>
      </c>
      <c r="F38" s="93" t="inlineStr">
        <is>
          <t>Porte-greffe KNVF ; rotation longue avec non-hôtes (alliums, brassicaceae) ; engrais vert (céréale, crucifères, phacélie, tagètes) ; Bacillus firmus (FLOCTER) ; solarisation</t>
        </is>
      </c>
    </row>
    <row r="39" ht="36" customHeight="1" s="38">
      <c r="A39" s="96" t="n"/>
      <c r="B39" s="96" t="n"/>
      <c r="C39" s="90" t="inlineStr">
        <is>
          <t>Cul noir (carence Ca)</t>
        </is>
      </c>
      <c r="D39" s="91" t="inlineStr">
        <is>
          <t>Apport calcium ; arrosage régulier ; éviter excès azote/potassium</t>
        </is>
      </c>
      <c r="E39" s="92" t="inlineStr">
        <is>
          <t>Noctuelles (Helicoverpa armigera)</t>
        </is>
      </c>
      <c r="F39" s="93" t="inlineStr">
        <is>
          <t>HELICOVEX (virus) ; Bt (Lepinox Plus) ; piégeage phéromones</t>
        </is>
      </c>
    </row>
    <row r="40" ht="36" customHeight="1" s="38">
      <c r="A40" s="97" t="n"/>
      <c r="B40" s="97" t="n"/>
      <c r="C40" s="90" t="inlineStr">
        <is>
          <t>Virus (TMV, ToMV, ToBRFV)</t>
        </is>
      </c>
      <c r="D40" s="91" t="inlineStr">
        <is>
          <t>Semences certifiées indemnes ; désinfection outils ; ÉVITER ToBRFV (très contaminant) ; pas de plants ou supports recyclés</t>
        </is>
      </c>
      <c r="E40" s="95" t="n"/>
      <c r="F40" s="95" t="n"/>
    </row>
    <row r="41" ht="36" customHeight="1" s="38">
      <c r="A41" s="89" t="inlineStr">
        <is>
          <t>Solanacées</t>
        </is>
      </c>
      <c r="B41" s="64" t="inlineStr">
        <is>
          <t>Aubergine</t>
        </is>
      </c>
      <c r="C41" s="90" t="inlineStr">
        <is>
          <t>Verticilliose</t>
        </is>
      </c>
      <c r="D41" s="91" t="inlineStr">
        <is>
          <t>Variétés résistantes ; greffe sur porte-greffe ; biner/butter pour nouvelles racines ; éliminer morelle noire et amarante (plantes hôtes) ; sortir plants infectés</t>
        </is>
      </c>
      <c r="E41" s="92" t="inlineStr">
        <is>
          <t>Doryphore (Leptinotarsa decemlineata)</t>
        </is>
      </c>
      <c r="F41" s="93" t="inlineStr">
        <is>
          <t>Ramassage manuel/mécanique ; Spinosad (Success 4) ; détruire morelle noire ; rotation ; associations à tester (lin rouge, fèves)</t>
        </is>
      </c>
    </row>
    <row r="42" ht="36" customHeight="1" s="38">
      <c r="A42" s="96" t="n"/>
      <c r="B42" s="96" t="n"/>
      <c r="C42" s="90" t="inlineStr">
        <is>
          <t>Mildiou</t>
        </is>
      </c>
      <c r="D42" s="91" t="inlineStr">
        <is>
          <t>Cuivre préventif ; aération</t>
        </is>
      </c>
      <c r="E42" s="92" t="inlineStr">
        <is>
          <t>Aleurodes</t>
        </is>
      </c>
      <c r="F42" s="93" t="inlineStr">
        <is>
          <t>PBI Encarsia, Macrolophus ; panneaux jaunes</t>
        </is>
      </c>
    </row>
    <row r="43" ht="36" customHeight="1" s="38">
      <c r="A43" s="96" t="n"/>
      <c r="B43" s="96" t="n"/>
      <c r="C43" s="90" t="inlineStr">
        <is>
          <t>Oïdium</t>
        </is>
      </c>
      <c r="D43" s="91" t="inlineStr">
        <is>
          <t>Soufre mouillable ; bicarbonate de K</t>
        </is>
      </c>
      <c r="E43" s="92" t="inlineStr">
        <is>
          <t>Acariens</t>
        </is>
      </c>
      <c r="F43" s="93" t="inlineStr">
        <is>
          <t>PBI Phytoseiulus ; bassiner</t>
        </is>
      </c>
    </row>
    <row r="44" ht="36" customHeight="1" s="38">
      <c r="A44" s="96" t="n"/>
      <c r="B44" s="96" t="n"/>
      <c r="C44" s="90" t="inlineStr">
        <is>
          <t>Pourriture grise</t>
        </is>
      </c>
      <c r="D44" s="91" t="inlineStr">
        <is>
          <t>Aération ; éliminer plants atteints</t>
        </is>
      </c>
      <c r="E44" s="92" t="inlineStr">
        <is>
          <t>Pucerons</t>
        </is>
      </c>
      <c r="F44" s="93" t="inlineStr">
        <is>
          <t>PBI Aphidius ervi ; savon noir</t>
        </is>
      </c>
    </row>
    <row r="45" ht="36" customHeight="1" s="38">
      <c r="A45" s="96" t="n"/>
      <c r="B45" s="96" t="n"/>
      <c r="C45" s="90" t="inlineStr">
        <is>
          <t>Bactériose</t>
        </is>
      </c>
      <c r="D45" s="91" t="inlineStr">
        <is>
          <t>Semences saines ; cuivre préventif ; éviter aspersion</t>
        </is>
      </c>
      <c r="E45" s="92" t="inlineStr">
        <is>
          <t>Thrips</t>
        </is>
      </c>
      <c r="F45" s="93" t="inlineStr">
        <is>
          <t>PBI Orius ; panneaux bleus</t>
        </is>
      </c>
    </row>
    <row r="46" ht="36" customHeight="1" s="38">
      <c r="A46" s="97" t="n"/>
      <c r="B46" s="97" t="n"/>
      <c r="C46" s="95" t="n"/>
      <c r="D46" s="95" t="n"/>
      <c r="E46" s="92" t="inlineStr">
        <is>
          <t>Punaises</t>
        </is>
      </c>
      <c r="F46" s="93" t="inlineStr">
        <is>
          <t>Surveillance ; ramassage</t>
        </is>
      </c>
    </row>
    <row r="47" ht="36" customHeight="1" s="38">
      <c r="A47" s="89" t="inlineStr">
        <is>
          <t>Solanacées</t>
        </is>
      </c>
      <c r="B47" s="64" t="inlineStr">
        <is>
          <t>Poivron</t>
        </is>
      </c>
      <c r="C47" s="90" t="inlineStr">
        <is>
          <t>Pourriture grise (Botrytis)</t>
        </is>
      </c>
      <c r="D47" s="91" t="inlineStr">
        <is>
          <t>Aération ; éviter blessures ; éliminer plants atteints</t>
        </is>
      </c>
      <c r="E47" s="92" t="inlineStr">
        <is>
          <t>Pucerons</t>
        </is>
      </c>
      <c r="F47" s="93" t="inlineStr">
        <is>
          <t>PBI Aphidius ervi, Aphelinus ; savon noir</t>
        </is>
      </c>
    </row>
    <row r="48" ht="36" customHeight="1" s="38">
      <c r="A48" s="96" t="n"/>
      <c r="B48" s="96" t="n"/>
      <c r="C48" s="90" t="inlineStr">
        <is>
          <t>Mildiou</t>
        </is>
      </c>
      <c r="D48" s="91" t="inlineStr">
        <is>
          <t>Cuivre préventif</t>
        </is>
      </c>
      <c r="E48" s="92" t="inlineStr">
        <is>
          <t>Thrips (vecteur TSWV)</t>
        </is>
      </c>
      <c r="F48" s="93" t="inlineStr">
        <is>
          <t>PBI Orius ; panneaux englués bleus ; hygrométrie 80% ; nettoyage des abris</t>
        </is>
      </c>
    </row>
    <row r="49" ht="36" customHeight="1" s="38">
      <c r="A49" s="96" t="n"/>
      <c r="B49" s="96" t="n"/>
      <c r="C49" s="90" t="inlineStr">
        <is>
          <t>Oïdium</t>
        </is>
      </c>
      <c r="D49" s="91" t="inlineStr">
        <is>
          <t>Soufre mouillable ; bicarbonate de K</t>
        </is>
      </c>
      <c r="E49" s="92" t="inlineStr">
        <is>
          <t>Aleurodes</t>
        </is>
      </c>
      <c r="F49" s="93" t="inlineStr">
        <is>
          <t>PBI Encarsia, Macrolophus ; panneaux jaunes</t>
        </is>
      </c>
    </row>
    <row r="50" ht="36" customHeight="1" s="38">
      <c r="A50" s="96" t="n"/>
      <c r="B50" s="96" t="n"/>
      <c r="C50" s="90" t="inlineStr">
        <is>
          <t>Cul noir (carence Ca)</t>
        </is>
      </c>
      <c r="D50" s="91" t="inlineStr">
        <is>
          <t>Apport calcium ; arrosage régulier ; éviter excès azote</t>
        </is>
      </c>
      <c r="E50" s="92" t="inlineStr">
        <is>
          <t>Acariens</t>
        </is>
      </c>
      <c r="F50" s="93" t="inlineStr">
        <is>
          <t>PBI Phytoseiulus ; bassiner</t>
        </is>
      </c>
    </row>
    <row r="51" ht="36" customHeight="1" s="38">
      <c r="A51" s="96" t="n"/>
      <c r="B51" s="96" t="n"/>
      <c r="C51" s="90" t="inlineStr">
        <is>
          <t>Virus (TMV, TSWV)</t>
        </is>
      </c>
      <c r="D51" s="91" t="inlineStr">
        <is>
          <t>Semences saines ; lutte contre thrips vecteurs (TSWV) ; désinfection outils</t>
        </is>
      </c>
      <c r="E51" s="92" t="inlineStr">
        <is>
          <t>Noctuelles</t>
        </is>
      </c>
      <c r="F51" s="93" t="inlineStr">
        <is>
          <t>Bt (Lepinox) ; HELICOVEX ; piégeage phéromones</t>
        </is>
      </c>
    </row>
    <row r="52" ht="36" customHeight="1" s="38">
      <c r="A52" s="97" t="n"/>
      <c r="B52" s="97" t="n"/>
      <c r="C52" s="95" t="n"/>
      <c r="D52" s="95" t="n"/>
      <c r="E52" s="92" t="inlineStr">
        <is>
          <t>Pyrale</t>
        </is>
      </c>
      <c r="F52" s="93" t="inlineStr">
        <is>
          <t>Bt ; piégeage phéromones</t>
        </is>
      </c>
    </row>
    <row r="53" ht="36" customHeight="1" s="38">
      <c r="A53" s="89" t="inlineStr">
        <is>
          <t>Solanacées</t>
        </is>
      </c>
      <c r="B53" s="64" t="inlineStr">
        <is>
          <t>Piment</t>
        </is>
      </c>
      <c r="C53" s="90" t="inlineStr">
        <is>
          <t>Pourriture grise</t>
        </is>
      </c>
      <c r="D53" s="91" t="inlineStr">
        <is>
          <t>Aération ; éviter blessures</t>
        </is>
      </c>
      <c r="E53" s="92" t="inlineStr">
        <is>
          <t>Pucerons</t>
        </is>
      </c>
      <c r="F53" s="93" t="inlineStr">
        <is>
          <t>PBI Aphidius ; savon noir</t>
        </is>
      </c>
    </row>
    <row r="54" ht="36" customHeight="1" s="38">
      <c r="A54" s="96" t="n"/>
      <c r="B54" s="96" t="n"/>
      <c r="C54" s="90" t="inlineStr">
        <is>
          <t>Oïdium</t>
        </is>
      </c>
      <c r="D54" s="91" t="inlineStr">
        <is>
          <t>Soufre mouillable</t>
        </is>
      </c>
      <c r="E54" s="92" t="inlineStr">
        <is>
          <t>Thrips</t>
        </is>
      </c>
      <c r="F54" s="93" t="inlineStr">
        <is>
          <t>PBI Orius ; panneaux bleus</t>
        </is>
      </c>
    </row>
    <row r="55" ht="36" customHeight="1" s="38">
      <c r="A55" s="96" t="n"/>
      <c r="B55" s="96" t="n"/>
      <c r="C55" s="90" t="inlineStr">
        <is>
          <t>Anthracnose</t>
        </is>
      </c>
      <c r="D55" s="91" t="inlineStr">
        <is>
          <t>Semences saines ; rotation ; arrosage goutte-à-goutte</t>
        </is>
      </c>
      <c r="E55" s="92" t="inlineStr">
        <is>
          <t>Aleurodes</t>
        </is>
      </c>
      <c r="F55" s="93" t="inlineStr">
        <is>
          <t>PBI Encarsia ; panneaux jaunes</t>
        </is>
      </c>
    </row>
    <row r="56" ht="36" customHeight="1" s="38">
      <c r="A56" s="96" t="n"/>
      <c r="B56" s="96" t="n"/>
      <c r="C56" s="90" t="inlineStr">
        <is>
          <t>Verticilliose</t>
        </is>
      </c>
      <c r="D56" s="91" t="inlineStr">
        <is>
          <t>Greffe ; éliminer plantes hôtes (morelle noire)</t>
        </is>
      </c>
      <c r="E56" s="92" t="inlineStr">
        <is>
          <t>Acariens</t>
        </is>
      </c>
      <c r="F56" s="93" t="inlineStr">
        <is>
          <t>PBI Phytoseiulus ; bassiner</t>
        </is>
      </c>
    </row>
    <row r="57" ht="36" customHeight="1" s="38">
      <c r="A57" s="97" t="n"/>
      <c r="B57" s="97" t="n"/>
      <c r="C57" s="90" t="inlineStr">
        <is>
          <t>Virus (TMV, TSWV)</t>
        </is>
      </c>
      <c r="D57" s="91" t="inlineStr">
        <is>
          <t>Semences saines ; lutte contre thrips vecteurs</t>
        </is>
      </c>
      <c r="E57" s="92" t="inlineStr">
        <is>
          <t>Noctuelles</t>
        </is>
      </c>
      <c r="F57" s="93" t="inlineStr">
        <is>
          <t>Bt ; piégeage phéromones</t>
        </is>
      </c>
    </row>
    <row r="58" ht="36" customHeight="1" s="38">
      <c r="A58" s="89" t="inlineStr">
        <is>
          <t>Alliacées</t>
        </is>
      </c>
      <c r="B58" s="64" t="inlineStr">
        <is>
          <t>Poireau</t>
        </is>
      </c>
      <c r="C58" s="90" t="inlineStr">
        <is>
          <t>Rouille</t>
        </is>
      </c>
      <c r="D58" s="91" t="inlineStr">
        <is>
          <t>Variétés tolérantes ; rotation 4+ ans ; cuivre préventif ; aération ; éliminer débris</t>
        </is>
      </c>
      <c r="E58" s="92" t="inlineStr">
        <is>
          <t>Teigne du poireau</t>
        </is>
      </c>
      <c r="F58" s="93" t="inlineStr">
        <is>
          <t>Filet anti-insectes (mailles fines) ; piégeage phéromones</t>
        </is>
      </c>
    </row>
    <row r="59" ht="36" customHeight="1" s="38">
      <c r="A59" s="96" t="n"/>
      <c r="B59" s="96" t="n"/>
      <c r="C59" s="90" t="inlineStr">
        <is>
          <t>Mildiou</t>
        </is>
      </c>
      <c r="D59" s="91" t="inlineStr">
        <is>
          <t>Cuivre préventif ; éviter feuillage humide</t>
        </is>
      </c>
      <c r="E59" s="92" t="inlineStr">
        <is>
          <t>Mineuse du poireau (Phytomyza gymnostoma)</t>
        </is>
      </c>
      <c r="F59" s="93" t="inlineStr">
        <is>
          <t>Filet anti-insectes IMPÉRATIF (printemps + automne) ; brûler les feuilles atteintes</t>
        </is>
      </c>
    </row>
    <row r="60" ht="36" customHeight="1" s="38">
      <c r="A60" s="96" t="n"/>
      <c r="B60" s="96" t="n"/>
      <c r="C60" s="90" t="inlineStr">
        <is>
          <t>Alternariose</t>
        </is>
      </c>
      <c r="D60" s="91" t="inlineStr">
        <is>
          <t>Semences saines ; rotation ; éliminer débris ; traitement vinaigre des semences</t>
        </is>
      </c>
      <c r="E60" s="92" t="inlineStr">
        <is>
          <t>Thrips</t>
        </is>
      </c>
      <c r="F60" s="93" t="inlineStr">
        <is>
          <t>PBI Orius ; bassiner ; panneaux bleus</t>
        </is>
      </c>
    </row>
    <row r="61" ht="36" customHeight="1" s="38">
      <c r="A61" s="96" t="n"/>
      <c r="B61" s="96" t="n"/>
      <c r="C61" s="90" t="inlineStr">
        <is>
          <t>Pourriture blanche</t>
        </is>
      </c>
      <c r="D61" s="91" t="inlineStr">
        <is>
          <t>Rotation 7+ ans (sclérotes persistent) ; éviter parcelles humides</t>
        </is>
      </c>
      <c r="E61" s="92" t="inlineStr">
        <is>
          <t>Mouche du poireau</t>
        </is>
      </c>
      <c r="F61" s="93" t="inlineStr">
        <is>
          <t>Filet anti-insectes</t>
        </is>
      </c>
    </row>
    <row r="62" ht="36" customHeight="1" s="38">
      <c r="A62" s="97" t="n"/>
      <c r="B62" s="97" t="n"/>
      <c r="C62" s="90" t="inlineStr">
        <is>
          <t>Fusariose</t>
        </is>
      </c>
      <c r="D62" s="91" t="inlineStr">
        <is>
          <t>Plants sains ; rotation longue ; drainage</t>
        </is>
      </c>
      <c r="E62" s="95" t="n"/>
      <c r="F62" s="95" t="n"/>
    </row>
    <row r="63" ht="36" customHeight="1" s="38">
      <c r="A63" s="89" t="inlineStr">
        <is>
          <t>Alliacées</t>
        </is>
      </c>
      <c r="B63" s="64" t="inlineStr">
        <is>
          <t>Oignon</t>
        </is>
      </c>
      <c r="C63" s="90" t="inlineStr">
        <is>
          <t>Mildiou (Peronospora destructor, 4–25°C)</t>
        </is>
      </c>
      <c r="D63" s="91" t="inlineStr">
        <is>
          <t>Cuivre préventif ; bulbilles saines ; éviter excès azote ; rotation 4+ ans</t>
        </is>
      </c>
      <c r="E63" s="92" t="inlineStr">
        <is>
          <t>Mouche de l'oignon (Delia antiqua)</t>
        </is>
      </c>
      <c r="F63" s="93" t="inlineStr">
        <is>
          <t>Filet anti-insectes ; rotation ; éviter parcelles avec antécédents</t>
        </is>
      </c>
    </row>
    <row r="64" ht="36" customHeight="1" s="38">
      <c r="A64" s="96" t="n"/>
      <c r="B64" s="96" t="n"/>
      <c r="C64" s="90" t="inlineStr">
        <is>
          <t>Pourriture blanche (Sclerotium cepivorum)</t>
        </is>
      </c>
      <c r="D64" s="91" t="inlineStr">
        <is>
          <t>Rotation 7+ ans (persiste 5+ ans dans le sol) ; éviter parcelles humides</t>
        </is>
      </c>
      <c r="E64" s="92" t="inlineStr">
        <is>
          <t>Thrips</t>
        </is>
      </c>
      <c r="F64" s="93" t="inlineStr">
        <is>
          <t>PBI Orius ; bassiner ; panneaux bleus</t>
        </is>
      </c>
    </row>
    <row r="65" ht="36" customHeight="1" s="38">
      <c r="A65" s="96" t="n"/>
      <c r="B65" s="96" t="n"/>
      <c r="C65" s="90" t="inlineStr">
        <is>
          <t>Botrytis col</t>
        </is>
      </c>
      <c r="D65" s="91" t="inlineStr">
        <is>
          <t>Bulbilles saines ; bonne maturation avant récolte ; séchage soigné</t>
        </is>
      </c>
      <c r="E65" s="92" t="inlineStr">
        <is>
          <t>Mineuses</t>
        </is>
      </c>
      <c r="F65" s="93" t="inlineStr">
        <is>
          <t>Filet anti-insectes ; éliminer feuilles atteintes</t>
        </is>
      </c>
    </row>
    <row r="66" ht="36" customHeight="1" s="38">
      <c r="A66" s="96" t="n"/>
      <c r="B66" s="96" t="n"/>
      <c r="C66" s="90" t="inlineStr">
        <is>
          <t>Fusariose</t>
        </is>
      </c>
      <c r="D66" s="91" t="inlineStr">
        <is>
          <t>Bulbilles saines ; rotation ; drainage</t>
        </is>
      </c>
      <c r="E66" s="95" t="n"/>
      <c r="F66" s="95" t="n"/>
    </row>
    <row r="67" ht="36" customHeight="1" s="38">
      <c r="A67" s="97" t="n"/>
      <c r="B67" s="97" t="n"/>
      <c r="C67" s="90" t="inlineStr">
        <is>
          <t>Rouille</t>
        </is>
      </c>
      <c r="D67" s="91" t="inlineStr">
        <is>
          <t>Variétés tolérantes ; cuivre préventif ; éliminer débris</t>
        </is>
      </c>
      <c r="E67" s="95" t="n"/>
      <c r="F67" s="95" t="n"/>
    </row>
    <row r="68" ht="36" customHeight="1" s="38">
      <c r="A68" s="89" t="inlineStr">
        <is>
          <t>Alliacées</t>
        </is>
      </c>
      <c r="B68" s="64" t="inlineStr">
        <is>
          <t>Ciboule</t>
        </is>
      </c>
      <c r="C68" s="90" t="inlineStr">
        <is>
          <t>Mildiou</t>
        </is>
      </c>
      <c r="D68" s="91" t="inlineStr">
        <is>
          <t>Cuivre préventif ; aération</t>
        </is>
      </c>
      <c r="E68" s="92" t="inlineStr">
        <is>
          <t>Thrips</t>
        </is>
      </c>
      <c r="F68" s="93" t="inlineStr">
        <is>
          <t>PBI Orius ; bassiner</t>
        </is>
      </c>
    </row>
    <row r="69" ht="36" customHeight="1" s="38">
      <c r="A69" s="96" t="n"/>
      <c r="B69" s="96" t="n"/>
      <c r="C69" s="90" t="inlineStr">
        <is>
          <t>Rouille</t>
        </is>
      </c>
      <c r="D69" s="91" t="inlineStr">
        <is>
          <t>Variétés tolérantes ; éliminer débris</t>
        </is>
      </c>
      <c r="E69" s="92" t="inlineStr">
        <is>
          <t>Mouche de l'oignon</t>
        </is>
      </c>
      <c r="F69" s="93" t="inlineStr">
        <is>
          <t>Filet anti-insectes</t>
        </is>
      </c>
    </row>
    <row r="70" ht="36" customHeight="1" s="38">
      <c r="A70" s="97" t="n"/>
      <c r="B70" s="97" t="n"/>
      <c r="C70" s="90" t="inlineStr">
        <is>
          <t>Pourriture blanche</t>
        </is>
      </c>
      <c r="D70" s="91" t="inlineStr">
        <is>
          <t>Rotation 7+ ans</t>
        </is>
      </c>
      <c r="E70" s="92" t="inlineStr">
        <is>
          <t>Mineuses</t>
        </is>
      </c>
      <c r="F70" s="93" t="inlineStr">
        <is>
          <t>Filet anti-insectes</t>
        </is>
      </c>
    </row>
    <row r="71" ht="36" customHeight="1" s="38">
      <c r="A71" s="89" t="inlineStr">
        <is>
          <t>Alliacées</t>
        </is>
      </c>
      <c r="B71" s="64" t="inlineStr">
        <is>
          <t>Échalote (semis)</t>
        </is>
      </c>
      <c r="C71" s="90" t="inlineStr">
        <is>
          <t>Mildiou</t>
        </is>
      </c>
      <c r="D71" s="91" t="inlineStr">
        <is>
          <t>Cuivre préventif ; bulbilles saines</t>
        </is>
      </c>
      <c r="E71" s="92" t="inlineStr">
        <is>
          <t>Mouche de l'oignon</t>
        </is>
      </c>
      <c r="F71" s="93" t="inlineStr">
        <is>
          <t>Filet anti-insectes ; rotation</t>
        </is>
      </c>
    </row>
    <row r="72" ht="36" customHeight="1" s="38">
      <c r="A72" s="96" t="n"/>
      <c r="B72" s="96" t="n"/>
      <c r="C72" s="90" t="inlineStr">
        <is>
          <t>Pourriture blanche</t>
        </is>
      </c>
      <c r="D72" s="91" t="inlineStr">
        <is>
          <t>Rotation 7+ ans ; éviter parcelles humides</t>
        </is>
      </c>
      <c r="E72" s="92" t="inlineStr">
        <is>
          <t>Thrips</t>
        </is>
      </c>
      <c r="F72" s="93" t="inlineStr">
        <is>
          <t>PBI Orius ; bassiner</t>
        </is>
      </c>
    </row>
    <row r="73" ht="36" customHeight="1" s="38">
      <c r="A73" s="96" t="n"/>
      <c r="B73" s="96" t="n"/>
      <c r="C73" s="90" t="inlineStr">
        <is>
          <t>Fusariose</t>
        </is>
      </c>
      <c r="D73" s="91" t="inlineStr">
        <is>
          <t>Bulbilles saines ; rotation longue</t>
        </is>
      </c>
      <c r="E73" s="92" t="inlineStr">
        <is>
          <t>Mineuses</t>
        </is>
      </c>
      <c r="F73" s="93" t="inlineStr">
        <is>
          <t>Filet anti-insectes</t>
        </is>
      </c>
    </row>
    <row r="74" ht="36" customHeight="1" s="38">
      <c r="A74" s="97" t="n"/>
      <c r="B74" s="97" t="n"/>
      <c r="C74" s="90" t="inlineStr">
        <is>
          <t>Botrytis</t>
        </is>
      </c>
      <c r="D74" s="91" t="inlineStr">
        <is>
          <t>Séchage soigné ; bulbilles saines</t>
        </is>
      </c>
      <c r="E74" s="95" t="n"/>
      <c r="F74" s="95" t="n"/>
    </row>
    <row r="75" ht="36" customHeight="1" s="38">
      <c r="A75" s="89" t="inlineStr">
        <is>
          <t>Choux &amp; brassicacées</t>
        </is>
      </c>
      <c r="B75" s="64" t="inlineStr">
        <is>
          <t>Chou cabus</t>
        </is>
      </c>
      <c r="C75" s="90" t="inlineStr">
        <is>
          <t>Hernie du chou (Plasmodiophora)</t>
        </is>
      </c>
      <c r="D75" s="91" t="inlineStr">
        <is>
          <t>Rotation 7+ ans (persiste 7–8 ans) ; pH &gt; 7 (chaulage) ; drainage ; semences saines</t>
        </is>
      </c>
      <c r="E75" s="92" t="inlineStr">
        <is>
          <t>Piéride du chou</t>
        </is>
      </c>
      <c r="F75" s="93" t="inlineStr">
        <is>
          <t>Filet anti-insectes ; Bt (Bacillus thuringiensis) ; ramassage chenilles</t>
        </is>
      </c>
    </row>
    <row r="76" ht="36" customHeight="1" s="38">
      <c r="A76" s="96" t="n"/>
      <c r="B76" s="96" t="n"/>
      <c r="C76" s="90" t="inlineStr">
        <is>
          <t>Mildiou</t>
        </is>
      </c>
      <c r="D76" s="91" t="inlineStr">
        <is>
          <t>Cuivre préventif ; aération ; rotation</t>
        </is>
      </c>
      <c r="E76" s="92" t="inlineStr">
        <is>
          <t>Mouche du chou (Delia radicum)</t>
        </is>
      </c>
      <c r="F76" s="93" t="inlineStr">
        <is>
          <t>Filet anti-insectes IMPÉRATIF dès plantation ; collerettes anti-ponte</t>
        </is>
      </c>
    </row>
    <row r="77" ht="36" customHeight="1" s="38">
      <c r="A77" s="96" t="n"/>
      <c r="B77" s="96" t="n"/>
      <c r="C77" s="90" t="inlineStr">
        <is>
          <t>Alternariose</t>
        </is>
      </c>
      <c r="D77" s="91" t="inlineStr">
        <is>
          <t>Semences saines (traitement vinaigre) ; rotation ; éliminer débris</t>
        </is>
      </c>
      <c r="E77" s="92" t="inlineStr">
        <is>
          <t>Altises</t>
        </is>
      </c>
      <c r="F77" s="93" t="inlineStr">
        <is>
          <t>Filet anti-insectes ; sols humides paillés ; arrosage par aspersion ; plantes pièges (moutarde d'Abyssinie - GRAB)</t>
        </is>
      </c>
    </row>
    <row r="78" ht="36" customHeight="1" s="38">
      <c r="A78" s="96" t="n"/>
      <c r="B78" s="96" t="n"/>
      <c r="C78" s="90" t="inlineStr">
        <is>
          <t>Sclerotinia</t>
        </is>
      </c>
      <c r="D78" s="91" t="inlineStr">
        <is>
          <t>CONTANS WG (Coniothyrium minitans) ; drainage ; rotation ; aération</t>
        </is>
      </c>
      <c r="E78" s="92" t="inlineStr">
        <is>
          <t>Pucerons cendrés</t>
        </is>
      </c>
      <c r="F78" s="93" t="inlineStr">
        <is>
          <t>Savon noir ; auxiliaires (coccinelles, syrphes) ; éviter excès azote</t>
        </is>
      </c>
    </row>
    <row r="79" ht="36" customHeight="1" s="38">
      <c r="A79" s="97" t="n"/>
      <c r="B79" s="97" t="n"/>
      <c r="C79" s="90" t="inlineStr">
        <is>
          <t>Nervation noire (Xanthomonas)</t>
        </is>
      </c>
      <c r="D79" s="91" t="inlineStr">
        <is>
          <t>Semences saines ; rotation ; éviter aspersion ; cuivre préventif</t>
        </is>
      </c>
      <c r="E79" s="92" t="inlineStr">
        <is>
          <t>Noctuelles</t>
        </is>
      </c>
      <c r="F79" s="93" t="inlineStr">
        <is>
          <t>Bt (Lepinox) ; piégeage phéromones</t>
        </is>
      </c>
    </row>
    <row r="80" ht="36" customHeight="1" s="38">
      <c r="A80" s="89" t="inlineStr">
        <is>
          <t>Choux &amp; brassicacées</t>
        </is>
      </c>
      <c r="B80" s="64" t="inlineStr">
        <is>
          <t>Chou frisé</t>
        </is>
      </c>
      <c r="C80" s="90" t="inlineStr">
        <is>
          <t>Hernie du chou</t>
        </is>
      </c>
      <c r="D80" s="91" t="inlineStr">
        <is>
          <t>Rotation 7+ ans ; pH &gt; 7 ; semences saines</t>
        </is>
      </c>
      <c r="E80" s="92" t="inlineStr">
        <is>
          <t>Piéride</t>
        </is>
      </c>
      <c r="F80" s="93" t="inlineStr">
        <is>
          <t>Filet anti-insectes ; Bt ; ramassage</t>
        </is>
      </c>
    </row>
    <row r="81" ht="36" customHeight="1" s="38">
      <c r="A81" s="96" t="n"/>
      <c r="B81" s="96" t="n"/>
      <c r="C81" s="90" t="inlineStr">
        <is>
          <t>Mildiou</t>
        </is>
      </c>
      <c r="D81" s="91" t="inlineStr">
        <is>
          <t>Cuivre préventif ; aération</t>
        </is>
      </c>
      <c r="E81" s="92" t="inlineStr">
        <is>
          <t>Mouche du chou</t>
        </is>
      </c>
      <c r="F81" s="93" t="inlineStr">
        <is>
          <t>Filet anti-insectes ; collerettes</t>
        </is>
      </c>
    </row>
    <row r="82" ht="36" customHeight="1" s="38">
      <c r="A82" s="96" t="n"/>
      <c r="B82" s="96" t="n"/>
      <c r="C82" s="90" t="inlineStr">
        <is>
          <t>Alternariose</t>
        </is>
      </c>
      <c r="D82" s="91" t="inlineStr">
        <is>
          <t>Semences saines ; rotation ; éliminer débris</t>
        </is>
      </c>
      <c r="E82" s="92" t="inlineStr">
        <is>
          <t>Altises</t>
        </is>
      </c>
      <c r="F82" s="93" t="inlineStr">
        <is>
          <t>Filet anti-insectes ; arrosage aspersion</t>
        </is>
      </c>
    </row>
    <row r="83" ht="36" customHeight="1" s="38">
      <c r="A83" s="96" t="n"/>
      <c r="B83" s="96" t="n"/>
      <c r="C83" s="90" t="inlineStr">
        <is>
          <t>Oïdium</t>
        </is>
      </c>
      <c r="D83" s="91" t="inlineStr">
        <is>
          <t>Soufre mouillable ; aération</t>
        </is>
      </c>
      <c r="E83" s="92" t="inlineStr">
        <is>
          <t>Pucerons cendrés</t>
        </is>
      </c>
      <c r="F83" s="93" t="inlineStr">
        <is>
          <t>Savon noir ; auxiliaires</t>
        </is>
      </c>
    </row>
    <row r="84" ht="36" customHeight="1" s="38">
      <c r="A84" s="97" t="n"/>
      <c r="B84" s="97" t="n"/>
      <c r="C84" s="95" t="n"/>
      <c r="D84" s="95" t="n"/>
      <c r="E84" s="92" t="inlineStr">
        <is>
          <t>Noctuelles</t>
        </is>
      </c>
      <c r="F84" s="93" t="inlineStr">
        <is>
          <t>Bt ; piégeage</t>
        </is>
      </c>
    </row>
    <row r="85" ht="36" customHeight="1" s="38">
      <c r="A85" s="89" t="inlineStr">
        <is>
          <t>Choux &amp; brassicacées</t>
        </is>
      </c>
      <c r="B85" s="64" t="inlineStr">
        <is>
          <t>Chou-fleur</t>
        </is>
      </c>
      <c r="C85" s="90" t="inlineStr">
        <is>
          <t>Hernie du chou</t>
        </is>
      </c>
      <c r="D85" s="91" t="inlineStr">
        <is>
          <t>Rotation 7+ ans ; pH &gt; 7 ; chaulage si sol acide</t>
        </is>
      </c>
      <c r="E85" s="92" t="inlineStr">
        <is>
          <t>Piéride</t>
        </is>
      </c>
      <c r="F85" s="93" t="inlineStr">
        <is>
          <t>Filet anti-insectes ; Bt</t>
        </is>
      </c>
    </row>
    <row r="86" ht="36" customHeight="1" s="38">
      <c r="A86" s="96" t="n"/>
      <c r="B86" s="96" t="n"/>
      <c r="C86" s="90" t="inlineStr">
        <is>
          <t>Mildiou</t>
        </is>
      </c>
      <c r="D86" s="91" t="inlineStr">
        <is>
          <t>Cuivre préventif ; aération</t>
        </is>
      </c>
      <c r="E86" s="92" t="inlineStr">
        <is>
          <t>Mouche du chou</t>
        </is>
      </c>
      <c r="F86" s="93" t="inlineStr">
        <is>
          <t>Filet anti-insectes IMPÉRATIF ; collerettes</t>
        </is>
      </c>
    </row>
    <row r="87" ht="36" customHeight="1" s="38">
      <c r="A87" s="96" t="n"/>
      <c r="B87" s="96" t="n"/>
      <c r="C87" s="90" t="inlineStr">
        <is>
          <t>Alternariose</t>
        </is>
      </c>
      <c r="D87" s="91" t="inlineStr">
        <is>
          <t>Semences saines ; rotation</t>
        </is>
      </c>
      <c r="E87" s="92" t="inlineStr">
        <is>
          <t>Altises</t>
        </is>
      </c>
      <c r="F87" s="93" t="inlineStr">
        <is>
          <t>Filet anti-insectes ; aspersion</t>
        </is>
      </c>
    </row>
    <row r="88" ht="36" customHeight="1" s="38">
      <c r="A88" s="96" t="n"/>
      <c r="B88" s="96" t="n"/>
      <c r="C88" s="90" t="inlineStr">
        <is>
          <t>Sclerotinia</t>
        </is>
      </c>
      <c r="D88" s="91" t="inlineStr">
        <is>
          <t>CONTANS WG ; drainage ; aération</t>
        </is>
      </c>
      <c r="E88" s="92" t="inlineStr">
        <is>
          <t>Pucerons cendrés</t>
        </is>
      </c>
      <c r="F88" s="93" t="inlineStr">
        <is>
          <t>Savon noir</t>
        </is>
      </c>
    </row>
    <row r="89" ht="36" customHeight="1" s="38">
      <c r="A89" s="97" t="n"/>
      <c r="B89" s="97" t="n"/>
      <c r="C89" s="90" t="inlineStr">
        <is>
          <t>Carence en bore (cœur creux)</t>
        </is>
      </c>
      <c r="D89" s="91" t="inlineStr">
        <is>
          <t>Apport bore (essentiel) ; analyse sol</t>
        </is>
      </c>
      <c r="E89" s="92" t="inlineStr">
        <is>
          <t>Noctuelles</t>
        </is>
      </c>
      <c r="F89" s="93" t="inlineStr">
        <is>
          <t>Bt ; piégeage</t>
        </is>
      </c>
    </row>
    <row r="90" ht="36" customHeight="1" s="38">
      <c r="A90" s="89" t="inlineStr">
        <is>
          <t>Choux &amp; brassicacées</t>
        </is>
      </c>
      <c r="B90" s="64" t="inlineStr">
        <is>
          <t>Brocoli</t>
        </is>
      </c>
      <c r="C90" s="90" t="inlineStr">
        <is>
          <t>Hernie du chou</t>
        </is>
      </c>
      <c r="D90" s="91" t="inlineStr">
        <is>
          <t>Rotation 7+ ans ; pH &gt; 7</t>
        </is>
      </c>
      <c r="E90" s="92" t="inlineStr">
        <is>
          <t>Piéride</t>
        </is>
      </c>
      <c r="F90" s="93" t="inlineStr">
        <is>
          <t>Filet anti-insectes ; Bt</t>
        </is>
      </c>
    </row>
    <row r="91" ht="36" customHeight="1" s="38">
      <c r="A91" s="96" t="n"/>
      <c r="B91" s="96" t="n"/>
      <c r="C91" s="90" t="inlineStr">
        <is>
          <t>Mildiou</t>
        </is>
      </c>
      <c r="D91" s="91" t="inlineStr">
        <is>
          <t>Cuivre préventif</t>
        </is>
      </c>
      <c r="E91" s="92" t="inlineStr">
        <is>
          <t>Mouche du chou</t>
        </is>
      </c>
      <c r="F91" s="93" t="inlineStr">
        <is>
          <t>Filet anti-insectes ; collerettes</t>
        </is>
      </c>
    </row>
    <row r="92" ht="36" customHeight="1" s="38">
      <c r="A92" s="96" t="n"/>
      <c r="B92" s="96" t="n"/>
      <c r="C92" s="90" t="inlineStr">
        <is>
          <t>Alternariose</t>
        </is>
      </c>
      <c r="D92" s="91" t="inlineStr">
        <is>
          <t>Semences saines ; rotation</t>
        </is>
      </c>
      <c r="E92" s="92" t="inlineStr">
        <is>
          <t>Altises</t>
        </is>
      </c>
      <c r="F92" s="93" t="inlineStr">
        <is>
          <t>Filet anti-insectes</t>
        </is>
      </c>
    </row>
    <row r="93" ht="36" customHeight="1" s="38">
      <c r="A93" s="96" t="n"/>
      <c r="B93" s="96" t="n"/>
      <c r="C93" s="90" t="inlineStr">
        <is>
          <t>Sclerotinia</t>
        </is>
      </c>
      <c r="D93" s="91" t="inlineStr">
        <is>
          <t>CONTANS WG ; aération</t>
        </is>
      </c>
      <c r="E93" s="92" t="inlineStr">
        <is>
          <t>Pucerons cendrés</t>
        </is>
      </c>
      <c r="F93" s="93" t="inlineStr">
        <is>
          <t>Savon noir</t>
        </is>
      </c>
    </row>
    <row r="94" ht="36" customHeight="1" s="38">
      <c r="A94" s="97" t="n"/>
      <c r="B94" s="97" t="n"/>
      <c r="C94" s="95" t="n"/>
      <c r="D94" s="95" t="n"/>
      <c r="E94" s="92" t="inlineStr">
        <is>
          <t>Noctuelles</t>
        </is>
      </c>
      <c r="F94" s="93" t="inlineStr">
        <is>
          <t>Bt ; piégeage</t>
        </is>
      </c>
    </row>
    <row r="95" ht="36" customHeight="1" s="38">
      <c r="A95" s="89" t="inlineStr">
        <is>
          <t>Choux &amp; brassicacées</t>
        </is>
      </c>
      <c r="B95" s="64" t="inlineStr">
        <is>
          <t>Chou de Bruxelles</t>
        </is>
      </c>
      <c r="C95" s="90" t="inlineStr">
        <is>
          <t>Hernie du chou</t>
        </is>
      </c>
      <c r="D95" s="91" t="inlineStr">
        <is>
          <t>Rotation 7+ ans ; pH &gt; 7</t>
        </is>
      </c>
      <c r="E95" s="92" t="inlineStr">
        <is>
          <t>Piéride</t>
        </is>
      </c>
      <c r="F95" s="93" t="inlineStr">
        <is>
          <t>Filet anti-insectes ; Bt</t>
        </is>
      </c>
    </row>
    <row r="96" ht="36" customHeight="1" s="38">
      <c r="A96" s="96" t="n"/>
      <c r="B96" s="96" t="n"/>
      <c r="C96" s="90" t="inlineStr">
        <is>
          <t>Mildiou</t>
        </is>
      </c>
      <c r="D96" s="91" t="inlineStr">
        <is>
          <t>Cuivre préventif</t>
        </is>
      </c>
      <c r="E96" s="92" t="inlineStr">
        <is>
          <t>Mouche du chou</t>
        </is>
      </c>
      <c r="F96" s="93" t="inlineStr">
        <is>
          <t>Filet anti-insectes ; collerettes</t>
        </is>
      </c>
    </row>
    <row r="97" ht="36" customHeight="1" s="38">
      <c r="A97" s="96" t="n"/>
      <c r="B97" s="96" t="n"/>
      <c r="C97" s="90" t="inlineStr">
        <is>
          <t>Alternariose</t>
        </is>
      </c>
      <c r="D97" s="91" t="inlineStr">
        <is>
          <t>Semences saines</t>
        </is>
      </c>
      <c r="E97" s="92" t="inlineStr">
        <is>
          <t>Altises</t>
        </is>
      </c>
      <c r="F97" s="93" t="inlineStr">
        <is>
          <t>Filet anti-insectes</t>
        </is>
      </c>
    </row>
    <row r="98" ht="36" customHeight="1" s="38">
      <c r="A98" s="96" t="n"/>
      <c r="B98" s="96" t="n"/>
      <c r="C98" s="90" t="inlineStr">
        <is>
          <t>Oïdium</t>
        </is>
      </c>
      <c r="D98" s="91" t="inlineStr">
        <is>
          <t>Soufre mouillable</t>
        </is>
      </c>
      <c r="E98" s="92" t="inlineStr">
        <is>
          <t>Pucerons cendrés</t>
        </is>
      </c>
      <c r="F98" s="93" t="inlineStr">
        <is>
          <t>Savon noir</t>
        </is>
      </c>
    </row>
    <row r="99" ht="36" customHeight="1" s="38">
      <c r="A99" s="96" t="n"/>
      <c r="B99" s="96" t="n"/>
      <c r="C99" s="95" t="n"/>
      <c r="D99" s="95" t="n"/>
      <c r="E99" s="92" t="inlineStr">
        <is>
          <t>Noctuelles</t>
        </is>
      </c>
      <c r="F99" s="93" t="inlineStr">
        <is>
          <t>Bt</t>
        </is>
      </c>
    </row>
    <row r="100" ht="36" customHeight="1" s="38">
      <c r="A100" s="97" t="n"/>
      <c r="B100" s="97" t="n"/>
      <c r="C100" s="95" t="n"/>
      <c r="D100" s="95" t="n"/>
      <c r="E100" s="92" t="inlineStr">
        <is>
          <t>Charançon de la tige</t>
        </is>
      </c>
      <c r="F100" s="93" t="inlineStr">
        <is>
          <t>Filet anti-insectes ; rotation</t>
        </is>
      </c>
    </row>
    <row r="101" ht="36" customHeight="1" s="38">
      <c r="A101" s="89" t="inlineStr">
        <is>
          <t>Choux &amp; brassicacées</t>
        </is>
      </c>
      <c r="B101" s="64" t="inlineStr">
        <is>
          <t>Pak choï</t>
        </is>
      </c>
      <c r="C101" s="90" t="inlineStr">
        <is>
          <t>Hernie du chou</t>
        </is>
      </c>
      <c r="D101" s="91" t="inlineStr">
        <is>
          <t>Rotation 7+ ans ; pH &gt; 7</t>
        </is>
      </c>
      <c r="E101" s="92" t="inlineStr">
        <is>
          <t>Altises (très sensibles au stade jeune)</t>
        </is>
      </c>
      <c r="F101" s="93" t="inlineStr">
        <is>
          <t>Filet anti-insectes IMPÉRATIF ; sols humides paillés ; arrosage par aspersion fréquent ; plantes pièges</t>
        </is>
      </c>
    </row>
    <row r="102" ht="36" customHeight="1" s="38">
      <c r="A102" s="96" t="n"/>
      <c r="B102" s="96" t="n"/>
      <c r="C102" s="90" t="inlineStr">
        <is>
          <t>Alternariose</t>
        </is>
      </c>
      <c r="D102" s="91" t="inlineStr">
        <is>
          <t>Semences saines ; rotation</t>
        </is>
      </c>
      <c r="E102" s="92" t="inlineStr">
        <is>
          <t>Piéride</t>
        </is>
      </c>
      <c r="F102" s="93" t="inlineStr">
        <is>
          <t>Filet anti-insectes ; Bt</t>
        </is>
      </c>
    </row>
    <row r="103" ht="36" customHeight="1" s="38">
      <c r="A103" s="96" t="n"/>
      <c r="B103" s="96" t="n"/>
      <c r="C103" s="90" t="inlineStr">
        <is>
          <t>Mildiou</t>
        </is>
      </c>
      <c r="D103" s="91" t="inlineStr">
        <is>
          <t>Cuivre préventif</t>
        </is>
      </c>
      <c r="E103" s="92" t="inlineStr">
        <is>
          <t>Pucerons</t>
        </is>
      </c>
      <c r="F103" s="93" t="inlineStr">
        <is>
          <t>Savon noir</t>
        </is>
      </c>
    </row>
    <row r="104" ht="36" customHeight="1" s="38">
      <c r="A104" s="97" t="n"/>
      <c r="B104" s="97" t="n"/>
      <c r="C104" s="95" t="n"/>
      <c r="D104" s="95" t="n"/>
      <c r="E104" s="92" t="inlineStr">
        <is>
          <t>Mouche du chou</t>
        </is>
      </c>
      <c r="F104" s="93" t="inlineStr">
        <is>
          <t>Filet anti-insectes</t>
        </is>
      </c>
    </row>
    <row r="105" ht="36" customHeight="1" s="38">
      <c r="A105" s="89" t="inlineStr">
        <is>
          <t>Choux &amp; brassicacées</t>
        </is>
      </c>
      <c r="B105" s="64" t="inlineStr">
        <is>
          <t>Bok choï</t>
        </is>
      </c>
      <c r="C105" s="90" t="inlineStr">
        <is>
          <t>Hernie du chou</t>
        </is>
      </c>
      <c r="D105" s="91" t="inlineStr">
        <is>
          <t>Rotation 7+ ans ; pH &gt; 7</t>
        </is>
      </c>
      <c r="E105" s="92" t="inlineStr">
        <is>
          <t>Altises</t>
        </is>
      </c>
      <c r="F105" s="93" t="inlineStr">
        <is>
          <t>Filet anti-insectes IMPÉRATIF ; sols humides paillés ; aspersion</t>
        </is>
      </c>
    </row>
    <row r="106" ht="36" customHeight="1" s="38">
      <c r="A106" s="96" t="n"/>
      <c r="B106" s="96" t="n"/>
      <c r="C106" s="90" t="inlineStr">
        <is>
          <t>Alternariose</t>
        </is>
      </c>
      <c r="D106" s="91" t="inlineStr">
        <is>
          <t>Semences saines</t>
        </is>
      </c>
      <c r="E106" s="92" t="inlineStr">
        <is>
          <t>Piéride</t>
        </is>
      </c>
      <c r="F106" s="93" t="inlineStr">
        <is>
          <t>Filet anti-insectes ; Bt</t>
        </is>
      </c>
    </row>
    <row r="107" ht="36" customHeight="1" s="38">
      <c r="A107" s="96" t="n"/>
      <c r="B107" s="96" t="n"/>
      <c r="C107" s="90" t="inlineStr">
        <is>
          <t>Mildiou</t>
        </is>
      </c>
      <c r="D107" s="91" t="inlineStr">
        <is>
          <t>Cuivre préventif</t>
        </is>
      </c>
      <c r="E107" s="92" t="inlineStr">
        <is>
          <t>Pucerons</t>
        </is>
      </c>
      <c r="F107" s="93" t="inlineStr">
        <is>
          <t>Savon noir</t>
        </is>
      </c>
    </row>
    <row r="108" ht="36" customHeight="1" s="38">
      <c r="A108" s="97" t="n"/>
      <c r="B108" s="97" t="n"/>
      <c r="C108" s="95" t="n"/>
      <c r="D108" s="95" t="n"/>
      <c r="E108" s="92" t="inlineStr">
        <is>
          <t>Mouche du chou</t>
        </is>
      </c>
      <c r="F108" s="93" t="inlineStr">
        <is>
          <t>Filet anti-insectes</t>
        </is>
      </c>
    </row>
    <row r="109" ht="36" customHeight="1" s="38">
      <c r="A109" s="89" t="inlineStr">
        <is>
          <t>Choux &amp; brassicacées</t>
        </is>
      </c>
      <c r="B109" s="64" t="inlineStr">
        <is>
          <t>Navet</t>
        </is>
      </c>
      <c r="C109" s="90" t="inlineStr">
        <is>
          <t>Hernie du chou</t>
        </is>
      </c>
      <c r="D109" s="91" t="inlineStr">
        <is>
          <t>Rotation 4+ ans ; pH &gt; 7</t>
        </is>
      </c>
      <c r="E109" s="92" t="inlineStr">
        <is>
          <t>Altises</t>
        </is>
      </c>
      <c r="F109" s="93" t="inlineStr">
        <is>
          <t>Filet anti-insectes ; aspersion ; sols humides</t>
        </is>
      </c>
    </row>
    <row r="110" ht="36" customHeight="1" s="38">
      <c r="A110" s="96" t="n"/>
      <c r="B110" s="96" t="n"/>
      <c r="C110" s="90" t="inlineStr">
        <is>
          <t>Alternariose</t>
        </is>
      </c>
      <c r="D110" s="91" t="inlineStr">
        <is>
          <t>Semences saines ; rotation</t>
        </is>
      </c>
      <c r="E110" s="92" t="inlineStr">
        <is>
          <t>Mouche du chou</t>
        </is>
      </c>
      <c r="F110" s="93" t="inlineStr">
        <is>
          <t>Filet anti-insectes</t>
        </is>
      </c>
    </row>
    <row r="111" ht="36" customHeight="1" s="38">
      <c r="A111" s="96" t="n"/>
      <c r="B111" s="96" t="n"/>
      <c r="C111" s="90" t="inlineStr">
        <is>
          <t>Mildiou</t>
        </is>
      </c>
      <c r="D111" s="91" t="inlineStr">
        <is>
          <t>Cuivre préventif</t>
        </is>
      </c>
      <c r="E111" s="92" t="inlineStr">
        <is>
          <t>Pucerons cendrés</t>
        </is>
      </c>
      <c r="F111" s="93" t="inlineStr">
        <is>
          <t>Savon noir</t>
        </is>
      </c>
    </row>
    <row r="112" ht="36" customHeight="1" s="38">
      <c r="A112" s="97" t="n"/>
      <c r="B112" s="97" t="n"/>
      <c r="C112" s="95" t="n"/>
      <c r="D112" s="95" t="n"/>
      <c r="E112" s="92" t="inlineStr">
        <is>
          <t>Charançon de la galle</t>
        </is>
      </c>
      <c r="F112" s="93" t="inlineStr">
        <is>
          <t>Rotation ; filet anti-insectes</t>
        </is>
      </c>
    </row>
    <row r="113" ht="36" customHeight="1" s="38">
      <c r="A113" s="89" t="inlineStr">
        <is>
          <t>Choux &amp; brassicacées</t>
        </is>
      </c>
      <c r="B113" s="64" t="inlineStr">
        <is>
          <t>Radis</t>
        </is>
      </c>
      <c r="C113" s="90" t="inlineStr">
        <is>
          <t>Mildiou</t>
        </is>
      </c>
      <c r="D113" s="91" t="inlineStr">
        <is>
          <t>Cuivre préventif ; aération</t>
        </is>
      </c>
      <c r="E113" s="92" t="inlineStr">
        <is>
          <t>Altises (très importantes)</t>
        </is>
      </c>
      <c r="F113" s="93" t="inlineStr">
        <is>
          <t>Filet anti-insectes IMPÉRATIF ; sols humides ; arrosage fréquent ; plantes pièges</t>
        </is>
      </c>
    </row>
    <row r="114" ht="36" customHeight="1" s="38">
      <c r="A114" s="96" t="n"/>
      <c r="B114" s="96" t="n"/>
      <c r="C114" s="90" t="inlineStr">
        <is>
          <t>Alternariose</t>
        </is>
      </c>
      <c r="D114" s="91" t="inlineStr">
        <is>
          <t>Semences saines ; rotation</t>
        </is>
      </c>
      <c r="E114" s="92" t="inlineStr">
        <is>
          <t>Mouche du chou</t>
        </is>
      </c>
      <c r="F114" s="93" t="inlineStr">
        <is>
          <t>Filet anti-insectes</t>
        </is>
      </c>
    </row>
    <row r="115" ht="36" customHeight="1" s="38">
      <c r="A115" s="97" t="n"/>
      <c r="B115" s="97" t="n"/>
      <c r="C115" s="95" t="n"/>
      <c r="D115" s="95" t="n"/>
      <c r="E115" s="92" t="inlineStr">
        <is>
          <t>Pucerons</t>
        </is>
      </c>
      <c r="F115" s="93" t="inlineStr">
        <is>
          <t>Savon noir</t>
        </is>
      </c>
    </row>
    <row r="116" ht="36" customHeight="1" s="38">
      <c r="A116" s="89" t="inlineStr">
        <is>
          <t>Légumineuses</t>
        </is>
      </c>
      <c r="B116" s="64" t="inlineStr">
        <is>
          <t>Pois</t>
        </is>
      </c>
      <c r="C116" s="90" t="inlineStr">
        <is>
          <t>Oïdium</t>
        </is>
      </c>
      <c r="D116" s="91" t="inlineStr">
        <is>
          <t>Soufre mouillable (KUMULUS DF, max 5 kg/ha sur pois) ; aération</t>
        </is>
      </c>
      <c r="E116" s="92" t="inlineStr">
        <is>
          <t>Tordeuse du pois</t>
        </is>
      </c>
      <c r="F116" s="93" t="inlineStr">
        <is>
          <t>Piégeage phéromones ; semis précoce ; rotation</t>
        </is>
      </c>
    </row>
    <row r="117" ht="36" customHeight="1" s="38">
      <c r="A117" s="96" t="n"/>
      <c r="B117" s="96" t="n"/>
      <c r="C117" s="90" t="inlineStr">
        <is>
          <t>Anthracnose</t>
        </is>
      </c>
      <c r="D117" s="91" t="inlineStr">
        <is>
          <t>Semences saines ; rotation 5+ ans ; éviter feuillage humide</t>
        </is>
      </c>
      <c r="E117" s="92" t="inlineStr">
        <is>
          <t>Pucerons</t>
        </is>
      </c>
      <c r="F117" s="93" t="inlineStr">
        <is>
          <t>Savon noir ; PBI Aphidius</t>
        </is>
      </c>
    </row>
    <row r="118" ht="36" customHeight="1" s="38">
      <c r="A118" s="96" t="n"/>
      <c r="B118" s="96" t="n"/>
      <c r="C118" s="90" t="inlineStr">
        <is>
          <t>Rouille</t>
        </is>
      </c>
      <c r="D118" s="91" t="inlineStr">
        <is>
          <t>Variétés tolérantes ; cuivre préventif</t>
        </is>
      </c>
      <c r="E118" s="92" t="inlineStr">
        <is>
          <t>Thrips</t>
        </is>
      </c>
      <c r="F118" s="93" t="inlineStr">
        <is>
          <t>PBI Orius</t>
        </is>
      </c>
    </row>
    <row r="119" ht="36" customHeight="1" s="38">
      <c r="A119" s="96" t="n"/>
      <c r="B119" s="96" t="n"/>
      <c r="C119" s="90" t="inlineStr">
        <is>
          <t>Sclerotinia</t>
        </is>
      </c>
      <c r="D119" s="91" t="inlineStr">
        <is>
          <t>CONTANS WG ; rotation 5+ ans ; drainage</t>
        </is>
      </c>
      <c r="E119" s="92" t="inlineStr">
        <is>
          <t>Sitones</t>
        </is>
      </c>
      <c r="F119" s="93" t="inlineStr">
        <is>
          <t>Rotation ; semis vigoureux</t>
        </is>
      </c>
    </row>
    <row r="120" ht="36" customHeight="1" s="38">
      <c r="A120" s="96" t="n"/>
      <c r="B120" s="96" t="n"/>
      <c r="C120" s="90" t="inlineStr">
        <is>
          <t>Mildiou</t>
        </is>
      </c>
      <c r="D120" s="91" t="inlineStr">
        <is>
          <t>Cuivre préventif ; aération</t>
        </is>
      </c>
      <c r="E120" s="92" t="inlineStr">
        <is>
          <t>Bruche du pois</t>
        </is>
      </c>
      <c r="F120" s="93" t="inlineStr">
        <is>
          <t>Tri post-récolte ; congélation des semences avant stockage</t>
        </is>
      </c>
    </row>
    <row r="121" ht="36" customHeight="1" s="38">
      <c r="A121" s="97" t="n"/>
      <c r="B121" s="97" t="n"/>
      <c r="C121" s="90" t="inlineStr">
        <is>
          <t>Fonte des semis</t>
        </is>
      </c>
      <c r="D121" s="91" t="inlineStr">
        <is>
          <t>Substrat sain ; semences saines ; éviter excès d'eau</t>
        </is>
      </c>
      <c r="E121" s="92" t="inlineStr">
        <is>
          <t>Mouche des semis</t>
        </is>
      </c>
      <c r="F121" s="93" t="inlineStr">
        <is>
          <t>Semis dans sol réchauffé ; éviter MO fraîche</t>
        </is>
      </c>
    </row>
    <row r="122" ht="36" customHeight="1" s="38">
      <c r="A122" s="89" t="inlineStr">
        <is>
          <t>Légumineuses</t>
        </is>
      </c>
      <c r="B122" s="64" t="inlineStr">
        <is>
          <t>Pois mangetout</t>
        </is>
      </c>
      <c r="C122" s="90" t="inlineStr">
        <is>
          <t>Oïdium</t>
        </is>
      </c>
      <c r="D122" s="91" t="inlineStr">
        <is>
          <t>Soufre mouillable ; aération</t>
        </is>
      </c>
      <c r="E122" s="92" t="inlineStr">
        <is>
          <t>Tordeuse du pois</t>
        </is>
      </c>
      <c r="F122" s="93" t="inlineStr">
        <is>
          <t>Piégeage phéromones ; semis précoce</t>
        </is>
      </c>
    </row>
    <row r="123" ht="36" customHeight="1" s="38">
      <c r="A123" s="96" t="n"/>
      <c r="B123" s="96" t="n"/>
      <c r="C123" s="90" t="inlineStr">
        <is>
          <t>Anthracnose</t>
        </is>
      </c>
      <c r="D123" s="91" t="inlineStr">
        <is>
          <t>Semences saines ; rotation 5+ ans</t>
        </is>
      </c>
      <c r="E123" s="92" t="inlineStr">
        <is>
          <t>Pucerons</t>
        </is>
      </c>
      <c r="F123" s="93" t="inlineStr">
        <is>
          <t>Savon noir ; auxiliaires</t>
        </is>
      </c>
    </row>
    <row r="124" ht="36" customHeight="1" s="38">
      <c r="A124" s="96" t="n"/>
      <c r="B124" s="96" t="n"/>
      <c r="C124" s="90" t="inlineStr">
        <is>
          <t>Rouille</t>
        </is>
      </c>
      <c r="D124" s="91" t="inlineStr">
        <is>
          <t>Cuivre préventif ; variétés tolérantes</t>
        </is>
      </c>
      <c r="E124" s="92" t="inlineStr">
        <is>
          <t>Thrips</t>
        </is>
      </c>
      <c r="F124" s="93" t="inlineStr">
        <is>
          <t>PBI Orius</t>
        </is>
      </c>
    </row>
    <row r="125" ht="36" customHeight="1" s="38">
      <c r="A125" s="96" t="n"/>
      <c r="B125" s="96" t="n"/>
      <c r="C125" s="90" t="inlineStr">
        <is>
          <t>Sclerotinia</t>
        </is>
      </c>
      <c r="D125" s="91" t="inlineStr">
        <is>
          <t>CONTANS WG ; rotation</t>
        </is>
      </c>
      <c r="E125" s="92" t="inlineStr">
        <is>
          <t>Sitones</t>
        </is>
      </c>
      <c r="F125" s="93" t="inlineStr">
        <is>
          <t>Rotation</t>
        </is>
      </c>
    </row>
    <row r="126" ht="36" customHeight="1" s="38">
      <c r="A126" s="97" t="n"/>
      <c r="B126" s="97" t="n"/>
      <c r="C126" s="95" t="n"/>
      <c r="D126" s="95" t="n"/>
      <c r="E126" s="92" t="inlineStr">
        <is>
          <t>Bruche</t>
        </is>
      </c>
      <c r="F126" s="93" t="inlineStr">
        <is>
          <t>Tri post-récolte ; congélation</t>
        </is>
      </c>
    </row>
    <row r="127" ht="36" customHeight="1" s="38">
      <c r="A127" s="89" t="inlineStr">
        <is>
          <t>Légumineuses</t>
        </is>
      </c>
      <c r="B127" s="64" t="inlineStr">
        <is>
          <t>Fève</t>
        </is>
      </c>
      <c r="C127" s="90" t="inlineStr">
        <is>
          <t>Rouille</t>
        </is>
      </c>
      <c r="D127" s="91" t="inlineStr">
        <is>
          <t>Variétés tolérantes ; cuivre préventif ; éliminer débris</t>
        </is>
      </c>
      <c r="E127" s="92" t="inlineStr">
        <is>
          <t>Puceron noir de la fève (Aphis fabae)</t>
        </is>
      </c>
      <c r="F127" s="93" t="inlineStr">
        <is>
          <t>Étêter en pleine floraison (très efficace) ; savon noir ; PBI Aphidius ; semis automne ou très précoce</t>
        </is>
      </c>
    </row>
    <row r="128" ht="36" customHeight="1" s="38">
      <c r="A128" s="96" t="n"/>
      <c r="B128" s="96" t="n"/>
      <c r="C128" s="90" t="inlineStr">
        <is>
          <t>Chocolat (Botrytis fabae)</t>
        </is>
      </c>
      <c r="D128" s="91" t="inlineStr">
        <is>
          <t>Aération ; rotation ; éviter excès humidité</t>
        </is>
      </c>
      <c r="E128" s="92" t="inlineStr">
        <is>
          <t>Sitones</t>
        </is>
      </c>
      <c r="F128" s="93" t="inlineStr">
        <is>
          <t>Rotation ; semis vigoureux</t>
        </is>
      </c>
    </row>
    <row r="129" ht="36" customHeight="1" s="38">
      <c r="A129" s="96" t="n"/>
      <c r="B129" s="96" t="n"/>
      <c r="C129" s="90" t="inlineStr">
        <is>
          <t>Anthracnose</t>
        </is>
      </c>
      <c r="D129" s="91" t="inlineStr">
        <is>
          <t>Semences saines ; rotation 5+ ans</t>
        </is>
      </c>
      <c r="E129" s="92" t="inlineStr">
        <is>
          <t>Bruche de la fève</t>
        </is>
      </c>
      <c r="F129" s="93" t="inlineStr">
        <is>
          <t>Tri post-récolte ; congélation des semences</t>
        </is>
      </c>
    </row>
    <row r="130" ht="36" customHeight="1" s="38">
      <c r="A130" s="96" t="n"/>
      <c r="B130" s="96" t="n"/>
      <c r="C130" s="90" t="inlineStr">
        <is>
          <t>Mildiou</t>
        </is>
      </c>
      <c r="D130" s="91" t="inlineStr">
        <is>
          <t>Cuivre préventif</t>
        </is>
      </c>
      <c r="E130" s="92" t="inlineStr">
        <is>
          <t>Thrips</t>
        </is>
      </c>
      <c r="F130" s="93" t="inlineStr">
        <is>
          <t>PBI Orius</t>
        </is>
      </c>
    </row>
    <row r="131" ht="36" customHeight="1" s="38">
      <c r="A131" s="97" t="n"/>
      <c r="B131" s="97" t="n"/>
      <c r="C131" s="90" t="inlineStr">
        <is>
          <t>Sclerotinia</t>
        </is>
      </c>
      <c r="D131" s="91" t="inlineStr">
        <is>
          <t>CONTANS WG ; rotation</t>
        </is>
      </c>
      <c r="E131" s="95" t="n"/>
      <c r="F131" s="95" t="n"/>
    </row>
    <row r="132" ht="36" customHeight="1" s="38">
      <c r="A132" s="89" t="inlineStr">
        <is>
          <t>Légumineuses</t>
        </is>
      </c>
      <c r="B132" s="64" t="inlineStr">
        <is>
          <t>Haricot nain</t>
        </is>
      </c>
      <c r="C132" s="90" t="inlineStr">
        <is>
          <t>Anthracnose</t>
        </is>
      </c>
      <c r="D132" s="91" t="inlineStr">
        <is>
          <t>Semences saines ; rotation 4+ ans ; éviter feuillage humide</t>
        </is>
      </c>
      <c r="E132" s="92" t="inlineStr">
        <is>
          <t>Pucerons</t>
        </is>
      </c>
      <c r="F132" s="93" t="inlineStr">
        <is>
          <t>Savon noir ; PBI Aphidius</t>
        </is>
      </c>
    </row>
    <row r="133" ht="36" customHeight="1" s="38">
      <c r="A133" s="96" t="n"/>
      <c r="B133" s="96" t="n"/>
      <c r="C133" s="90" t="inlineStr">
        <is>
          <t>Rouille</t>
        </is>
      </c>
      <c r="D133" s="91" t="inlineStr">
        <is>
          <t>Variétés tolérantes ; cuivre préventif</t>
        </is>
      </c>
      <c r="E133" s="92" t="inlineStr">
        <is>
          <t>Tétranyques (acariens)</t>
        </is>
      </c>
      <c r="F133" s="93" t="inlineStr">
        <is>
          <t>Bassiner ; PBI Phytoseiulus ; soufre modéré</t>
        </is>
      </c>
    </row>
    <row r="134" ht="36" customHeight="1" s="38">
      <c r="A134" s="96" t="n"/>
      <c r="B134" s="96" t="n"/>
      <c r="C134" s="90" t="inlineStr">
        <is>
          <t>Sclerotinia</t>
        </is>
      </c>
      <c r="D134" s="91" t="inlineStr">
        <is>
          <t>CONTANS WG ; rotation ; drainage</t>
        </is>
      </c>
      <c r="E134" s="92" t="inlineStr">
        <is>
          <t>Thrips</t>
        </is>
      </c>
      <c r="F134" s="93" t="inlineStr">
        <is>
          <t>PBI Orius ; éloigner cultures sensibles</t>
        </is>
      </c>
    </row>
    <row r="135" ht="36" customHeight="1" s="38">
      <c r="A135" s="96" t="n"/>
      <c r="B135" s="96" t="n"/>
      <c r="C135" s="90" t="inlineStr">
        <is>
          <t>Pourriture grise</t>
        </is>
      </c>
      <c r="D135" s="91" t="inlineStr">
        <is>
          <t>Aération ; éliminer plants atteints</t>
        </is>
      </c>
      <c r="E135" s="92" t="inlineStr">
        <is>
          <t>Mouche des semis</t>
        </is>
      </c>
      <c r="F135" s="93" t="inlineStr">
        <is>
          <t>Semis dans sol réchauffé ; éviter MO fraîche</t>
        </is>
      </c>
    </row>
    <row r="136" ht="36" customHeight="1" s="38">
      <c r="A136" s="96" t="n"/>
      <c r="B136" s="96" t="n"/>
      <c r="C136" s="90" t="inlineStr">
        <is>
          <t>Bactériose (graisse)</t>
        </is>
      </c>
      <c r="D136" s="91" t="inlineStr">
        <is>
          <t>Semences saines ; PAS d'aspersion ; cuivre préventif</t>
        </is>
      </c>
      <c r="E136" s="92" t="inlineStr">
        <is>
          <t>Limaces</t>
        </is>
      </c>
      <c r="F136" s="93" t="inlineStr">
        <is>
          <t>Piégeage ; ferramol</t>
        </is>
      </c>
    </row>
    <row r="137" ht="36" customHeight="1" s="38">
      <c r="A137" s="97" t="n"/>
      <c r="B137" s="97" t="n"/>
      <c r="C137" s="90" t="inlineStr">
        <is>
          <t>Virus (BCMV)</t>
        </is>
      </c>
      <c r="D137" s="91" t="inlineStr">
        <is>
          <t>Semences certifiées ; lutte contre pucerons vecteurs</t>
        </is>
      </c>
      <c r="E137" s="92" t="inlineStr">
        <is>
          <t>Noctuelles</t>
        </is>
      </c>
      <c r="F137" s="93" t="inlineStr">
        <is>
          <t>Bt ; piégeage</t>
        </is>
      </c>
    </row>
    <row r="138" ht="36" customHeight="1" s="38">
      <c r="A138" s="89" t="inlineStr">
        <is>
          <t>Légumineuses</t>
        </is>
      </c>
      <c r="B138" s="64" t="inlineStr">
        <is>
          <t>Haricot à rame</t>
        </is>
      </c>
      <c r="C138" s="90" t="inlineStr">
        <is>
          <t>Anthracnose</t>
        </is>
      </c>
      <c r="D138" s="91" t="inlineStr">
        <is>
          <t>Semences saines ; rotation 4+ ans</t>
        </is>
      </c>
      <c r="E138" s="92" t="inlineStr">
        <is>
          <t>Pucerons</t>
        </is>
      </c>
      <c r="F138" s="93" t="inlineStr">
        <is>
          <t>Savon noir ; PBI Aphidius</t>
        </is>
      </c>
    </row>
    <row r="139" ht="36" customHeight="1" s="38">
      <c r="A139" s="96" t="n"/>
      <c r="B139" s="96" t="n"/>
      <c r="C139" s="90" t="inlineStr">
        <is>
          <t>Rouille</t>
        </is>
      </c>
      <c r="D139" s="91" t="inlineStr">
        <is>
          <t>Variétés tolérantes ; cuivre préventif</t>
        </is>
      </c>
      <c r="E139" s="92" t="inlineStr">
        <is>
          <t>Tétranyques</t>
        </is>
      </c>
      <c r="F139" s="93" t="inlineStr">
        <is>
          <t>Bassiner ; PBI Phytoseiulus</t>
        </is>
      </c>
    </row>
    <row r="140" ht="36" customHeight="1" s="38">
      <c r="A140" s="96" t="n"/>
      <c r="B140" s="96" t="n"/>
      <c r="C140" s="90" t="inlineStr">
        <is>
          <t>Sclerotinia</t>
        </is>
      </c>
      <c r="D140" s="91" t="inlineStr">
        <is>
          <t>CONTANS WG ; rotation</t>
        </is>
      </c>
      <c r="E140" s="92" t="inlineStr">
        <is>
          <t>Thrips</t>
        </is>
      </c>
      <c r="F140" s="93" t="inlineStr">
        <is>
          <t>PBI Orius</t>
        </is>
      </c>
    </row>
    <row r="141" ht="36" customHeight="1" s="38">
      <c r="A141" s="96" t="n"/>
      <c r="B141" s="96" t="n"/>
      <c r="C141" s="90" t="inlineStr">
        <is>
          <t>Bactériose</t>
        </is>
      </c>
      <c r="D141" s="91" t="inlineStr">
        <is>
          <t>Semences saines ; pas d'aspersion</t>
        </is>
      </c>
      <c r="E141" s="92" t="inlineStr">
        <is>
          <t>Mouche des semis</t>
        </is>
      </c>
      <c r="F141" s="93" t="inlineStr">
        <is>
          <t>Semis dans sol réchauffé</t>
        </is>
      </c>
    </row>
    <row r="142" ht="36" customHeight="1" s="38">
      <c r="A142" s="97" t="n"/>
      <c r="B142" s="97" t="n"/>
      <c r="C142" s="90" t="inlineStr">
        <is>
          <t>Virus</t>
        </is>
      </c>
      <c r="D142" s="91" t="inlineStr">
        <is>
          <t>Semences certifiées ; lutte contre pucerons</t>
        </is>
      </c>
      <c r="E142" s="92" t="inlineStr">
        <is>
          <t>Limaces</t>
        </is>
      </c>
      <c r="F142" s="93" t="inlineStr">
        <is>
          <t>Piégeage ; ferramol</t>
        </is>
      </c>
    </row>
    <row r="143" ht="36" customHeight="1" s="38">
      <c r="A143" s="89" t="inlineStr">
        <is>
          <t>Légumineuses</t>
        </is>
      </c>
      <c r="B143" s="64" t="inlineStr">
        <is>
          <t>Pois chiche</t>
        </is>
      </c>
      <c r="C143" s="90" t="inlineStr">
        <is>
          <t>Anthracnose (Ascochyta)</t>
        </is>
      </c>
      <c r="D143" s="91" t="inlineStr">
        <is>
          <t>Rotation 5+ ans (très persistant) ; semences certifiées ; éviter feuillage humide</t>
        </is>
      </c>
      <c r="E143" s="92" t="inlineStr">
        <is>
          <t>Tordeuse du pois</t>
        </is>
      </c>
      <c r="F143" s="93" t="inlineStr">
        <is>
          <t>Piégeage phéromones</t>
        </is>
      </c>
    </row>
    <row r="144" ht="36" customHeight="1" s="38">
      <c r="A144" s="96" t="n"/>
      <c r="B144" s="96" t="n"/>
      <c r="C144" s="90" t="inlineStr">
        <is>
          <t>Fusariose</t>
        </is>
      </c>
      <c r="D144" s="91" t="inlineStr">
        <is>
          <t>Rotation longue ; semences saines</t>
        </is>
      </c>
      <c r="E144" s="92" t="inlineStr">
        <is>
          <t>Pucerons</t>
        </is>
      </c>
      <c r="F144" s="93" t="inlineStr">
        <is>
          <t>Savon noir ; auxiliaires</t>
        </is>
      </c>
    </row>
    <row r="145" ht="36" customHeight="1" s="38">
      <c r="A145" s="96" t="n"/>
      <c r="B145" s="96" t="n"/>
      <c r="C145" s="90" t="inlineStr">
        <is>
          <t>Rouille</t>
        </is>
      </c>
      <c r="D145" s="91" t="inlineStr">
        <is>
          <t>Variétés tolérantes ; cuivre préventif</t>
        </is>
      </c>
      <c r="E145" s="92" t="inlineStr">
        <is>
          <t>Sitones</t>
        </is>
      </c>
      <c r="F145" s="93" t="inlineStr">
        <is>
          <t>Rotation</t>
        </is>
      </c>
    </row>
    <row r="146" ht="36" customHeight="1" s="38">
      <c r="A146" s="97" t="n"/>
      <c r="B146" s="97" t="n"/>
      <c r="C146" s="95" t="n"/>
      <c r="D146" s="95" t="n"/>
      <c r="E146" s="92" t="inlineStr">
        <is>
          <t>Bruche</t>
        </is>
      </c>
      <c r="F146" s="93" t="inlineStr">
        <is>
          <t>Tri post-récolte ; congélation</t>
        </is>
      </c>
    </row>
    <row r="147" ht="36" customHeight="1" s="38">
      <c r="A147" s="89" t="inlineStr">
        <is>
          <t>Légumes-feuilles</t>
        </is>
      </c>
      <c r="B147" s="64" t="inlineStr">
        <is>
          <t>Laitue</t>
        </is>
      </c>
      <c r="C147" s="90" t="inlineStr">
        <is>
          <t>Mildiou (Bremia lactucae, 15°C)</t>
        </is>
      </c>
      <c r="D147" s="91" t="inlineStr">
        <is>
          <t>Variétés résistantes Bremia (le plus efficace) ; aération ; arrosage matinal ; éviter humidité prolongée</t>
        </is>
      </c>
      <c r="E147" s="92" t="inlineStr">
        <is>
          <t>Pucerons (Nasonovia ribisnigri)</t>
        </is>
      </c>
      <c r="F147" s="93" t="inlineStr">
        <is>
          <t>Variétés résistantes Nr ; savon noir ; PBI Aphidius</t>
        </is>
      </c>
    </row>
    <row r="148" ht="36" customHeight="1" s="38">
      <c r="A148" s="96" t="n"/>
      <c r="B148" s="96" t="n"/>
      <c r="C148" s="90" t="inlineStr">
        <is>
          <t>Sclerotinia</t>
        </is>
      </c>
      <c r="D148" s="91" t="inlineStr">
        <is>
          <t>CONTANS WG (Coniothyrium minitans) ; rotation ; drainage ; aération</t>
        </is>
      </c>
      <c r="E148" s="92" t="inlineStr">
        <is>
          <t>Limaces et escargots</t>
        </is>
      </c>
      <c r="F148" s="93" t="inlineStr">
        <is>
          <t>Piégeage ; ferramol ; biodiversité</t>
        </is>
      </c>
    </row>
    <row r="149" ht="36" customHeight="1" s="38">
      <c r="A149" s="96" t="n"/>
      <c r="B149" s="96" t="n"/>
      <c r="C149" s="90" t="inlineStr">
        <is>
          <t>Pourriture grise (Botrytis)</t>
        </is>
      </c>
      <c r="D149" s="91" t="inlineStr">
        <is>
          <t>Aération ; éviter blessures ; éliminer plants atteints</t>
        </is>
      </c>
      <c r="E149" s="92" t="inlineStr">
        <is>
          <t>Noctuelles</t>
        </is>
      </c>
      <c r="F149" s="93" t="inlineStr">
        <is>
          <t>Bt (Lepinox) ; piégeage phéromones ; filet</t>
        </is>
      </c>
    </row>
    <row r="150" ht="36" customHeight="1" s="38">
      <c r="A150" s="96" t="n"/>
      <c r="B150" s="96" t="n"/>
      <c r="C150" s="90" t="inlineStr">
        <is>
          <t>Fonte des semis</t>
        </is>
      </c>
      <c r="D150" s="91" t="inlineStr">
        <is>
          <t>Substrat sain ; éviter excès d'eau au semis</t>
        </is>
      </c>
      <c r="E150" s="92" t="inlineStr">
        <is>
          <t>Mineuses</t>
        </is>
      </c>
      <c r="F150" s="93" t="inlineStr">
        <is>
          <t>Filet anti-insectes ; éliminer feuilles atteintes</t>
        </is>
      </c>
    </row>
    <row r="151" ht="36" customHeight="1" s="38">
      <c r="A151" s="96" t="n"/>
      <c r="B151" s="96" t="n"/>
      <c r="C151" s="90" t="inlineStr">
        <is>
          <t>Anthracnose</t>
        </is>
      </c>
      <c r="D151" s="91" t="inlineStr">
        <is>
          <t>Semences saines ; rotation</t>
        </is>
      </c>
      <c r="E151" s="92" t="inlineStr">
        <is>
          <t>Thrips</t>
        </is>
      </c>
      <c r="F151" s="93" t="inlineStr">
        <is>
          <t>PBI Orius ; panneaux bleus</t>
        </is>
      </c>
    </row>
    <row r="152" ht="36" customHeight="1" s="38">
      <c r="A152" s="97" t="n"/>
      <c r="B152" s="97" t="n"/>
      <c r="C152" s="90" t="inlineStr">
        <is>
          <t>Nécrose marginale (carence Ca)</t>
        </is>
      </c>
      <c r="D152" s="91" t="inlineStr">
        <is>
          <t>Apport calcium ; arrosage régulier ; éviter excès azote</t>
        </is>
      </c>
      <c r="E152" s="95" t="n"/>
      <c r="F152" s="95" t="n"/>
    </row>
    <row r="153" ht="36" customHeight="1" s="38">
      <c r="A153" s="89" t="inlineStr">
        <is>
          <t>Légumes-feuilles</t>
        </is>
      </c>
      <c r="B153" s="64" t="inlineStr">
        <is>
          <t>Batavia</t>
        </is>
      </c>
      <c r="C153" s="90" t="inlineStr">
        <is>
          <t>Mildiou (Bremia)</t>
        </is>
      </c>
      <c r="D153" s="91" t="inlineStr">
        <is>
          <t>Variétés résistantes ; aération ; arrosage matinal</t>
        </is>
      </c>
      <c r="E153" s="92" t="inlineStr">
        <is>
          <t>Pucerons</t>
        </is>
      </c>
      <c r="F153" s="93" t="inlineStr">
        <is>
          <t>Variétés résistantes Nr ; savon noir</t>
        </is>
      </c>
    </row>
    <row r="154" ht="36" customHeight="1" s="38">
      <c r="A154" s="96" t="n"/>
      <c r="B154" s="96" t="n"/>
      <c r="C154" s="90" t="inlineStr">
        <is>
          <t>Sclerotinia</t>
        </is>
      </c>
      <c r="D154" s="91" t="inlineStr">
        <is>
          <t>CONTANS WG ; drainage</t>
        </is>
      </c>
      <c r="E154" s="92" t="inlineStr">
        <is>
          <t>Limaces</t>
        </is>
      </c>
      <c r="F154" s="93" t="inlineStr">
        <is>
          <t>Piégeage ; ferramol</t>
        </is>
      </c>
    </row>
    <row r="155" ht="36" customHeight="1" s="38">
      <c r="A155" s="96" t="n"/>
      <c r="B155" s="96" t="n"/>
      <c r="C155" s="90" t="inlineStr">
        <is>
          <t>Pourriture grise</t>
        </is>
      </c>
      <c r="D155" s="91" t="inlineStr">
        <is>
          <t>Aération ; éliminer plants atteints</t>
        </is>
      </c>
      <c r="E155" s="92" t="inlineStr">
        <is>
          <t>Noctuelles</t>
        </is>
      </c>
      <c r="F155" s="93" t="inlineStr">
        <is>
          <t>Bt ; piégeage</t>
        </is>
      </c>
    </row>
    <row r="156" ht="36" customHeight="1" s="38">
      <c r="A156" s="96" t="n"/>
      <c r="B156" s="96" t="n"/>
      <c r="C156" s="90" t="inlineStr">
        <is>
          <t>Anthracnose</t>
        </is>
      </c>
      <c r="D156" s="91" t="inlineStr">
        <is>
          <t>Semences saines ; rotation</t>
        </is>
      </c>
      <c r="E156" s="92" t="inlineStr">
        <is>
          <t>Mineuses</t>
        </is>
      </c>
      <c r="F156" s="93" t="inlineStr">
        <is>
          <t>Filet anti-insectes</t>
        </is>
      </c>
    </row>
    <row r="157" ht="36" customHeight="1" s="38">
      <c r="A157" s="97" t="n"/>
      <c r="B157" s="97" t="n"/>
      <c r="C157" s="95" t="n"/>
      <c r="D157" s="95" t="n"/>
      <c r="E157" s="92" t="inlineStr">
        <is>
          <t>Thrips</t>
        </is>
      </c>
      <c r="F157" s="93" t="inlineStr">
        <is>
          <t>PBI Orius</t>
        </is>
      </c>
    </row>
    <row r="158" ht="36" customHeight="1" s="38">
      <c r="A158" s="89" t="inlineStr">
        <is>
          <t>Légumes-feuilles</t>
        </is>
      </c>
      <c r="B158" s="64" t="inlineStr">
        <is>
          <t>Feuille de chêne</t>
        </is>
      </c>
      <c r="C158" s="90" t="inlineStr">
        <is>
          <t>Mildiou (Bremia)</t>
        </is>
      </c>
      <c r="D158" s="91" t="inlineStr">
        <is>
          <t>Variétés résistantes ; aération</t>
        </is>
      </c>
      <c r="E158" s="92" t="inlineStr">
        <is>
          <t>Pucerons</t>
        </is>
      </c>
      <c r="F158" s="93" t="inlineStr">
        <is>
          <t>Savon noir ; auxiliaires</t>
        </is>
      </c>
    </row>
    <row r="159" ht="36" customHeight="1" s="38">
      <c r="A159" s="96" t="n"/>
      <c r="B159" s="96" t="n"/>
      <c r="C159" s="90" t="inlineStr">
        <is>
          <t>Sclerotinia</t>
        </is>
      </c>
      <c r="D159" s="91" t="inlineStr">
        <is>
          <t>CONTANS WG ; drainage</t>
        </is>
      </c>
      <c r="E159" s="92" t="inlineStr">
        <is>
          <t>Limaces</t>
        </is>
      </c>
      <c r="F159" s="93" t="inlineStr">
        <is>
          <t>Piégeage ; ferramol</t>
        </is>
      </c>
    </row>
    <row r="160" ht="36" customHeight="1" s="38">
      <c r="A160" s="96" t="n"/>
      <c r="B160" s="96" t="n"/>
      <c r="C160" s="90" t="inlineStr">
        <is>
          <t>Pourriture grise</t>
        </is>
      </c>
      <c r="D160" s="91" t="inlineStr">
        <is>
          <t>Aération</t>
        </is>
      </c>
      <c r="E160" s="92" t="inlineStr">
        <is>
          <t>Noctuelles</t>
        </is>
      </c>
      <c r="F160" s="93" t="inlineStr">
        <is>
          <t>Bt</t>
        </is>
      </c>
    </row>
    <row r="161" ht="36" customHeight="1" s="38">
      <c r="A161" s="97" t="n"/>
      <c r="B161" s="97" t="n"/>
      <c r="C161" s="95" t="n"/>
      <c r="D161" s="95" t="n"/>
      <c r="E161" s="92" t="inlineStr">
        <is>
          <t>Thrips</t>
        </is>
      </c>
      <c r="F161" s="93" t="inlineStr">
        <is>
          <t>PBI Orius</t>
        </is>
      </c>
    </row>
    <row r="162" ht="36" customHeight="1" s="38">
      <c r="A162" s="89" t="inlineStr">
        <is>
          <t>Légumes-feuilles</t>
        </is>
      </c>
      <c r="B162" s="64" t="inlineStr">
        <is>
          <t>Mâche</t>
        </is>
      </c>
      <c r="C162" s="90" t="inlineStr">
        <is>
          <t>Mildiou (Peronospora)</t>
        </is>
      </c>
      <c r="D162" s="91" t="inlineStr">
        <is>
          <t>Aération sous abri ; éviter excès d'eau ; rotation</t>
        </is>
      </c>
      <c r="E162" s="92" t="inlineStr">
        <is>
          <t>Pucerons</t>
        </is>
      </c>
      <c r="F162" s="93" t="inlineStr">
        <is>
          <t>Savon noir</t>
        </is>
      </c>
    </row>
    <row r="163" ht="36" customHeight="1" s="38">
      <c r="A163" s="96" t="n"/>
      <c r="B163" s="96" t="n"/>
      <c r="C163" s="90" t="inlineStr">
        <is>
          <t>Oïdium</t>
        </is>
      </c>
      <c r="D163" s="91" t="inlineStr">
        <is>
          <t>Soufre mouillable ; aération</t>
        </is>
      </c>
      <c r="E163" s="92" t="inlineStr">
        <is>
          <t>Limaces et escargots</t>
        </is>
      </c>
      <c r="F163" s="93" t="inlineStr">
        <is>
          <t>Piégeage ; ferramol</t>
        </is>
      </c>
    </row>
    <row r="164" ht="36" customHeight="1" s="38">
      <c r="A164" s="96" t="n"/>
      <c r="B164" s="96" t="n"/>
      <c r="C164" s="90" t="inlineStr">
        <is>
          <t>Sclerotinia</t>
        </is>
      </c>
      <c r="D164" s="91" t="inlineStr">
        <is>
          <t>CONTANS WG ; drainage</t>
        </is>
      </c>
      <c r="E164" s="92" t="inlineStr">
        <is>
          <t>Noctuelles</t>
        </is>
      </c>
      <c r="F164" s="93" t="inlineStr">
        <is>
          <t>Bt ; piégeage</t>
        </is>
      </c>
    </row>
    <row r="165" ht="36" customHeight="1" s="38">
      <c r="A165" s="96" t="n"/>
      <c r="B165" s="96" t="n"/>
      <c r="C165" s="90" t="inlineStr">
        <is>
          <t>Pourriture grise</t>
        </is>
      </c>
      <c r="D165" s="91" t="inlineStr">
        <is>
          <t>Aération ; éliminer plants atteints</t>
        </is>
      </c>
      <c r="E165" s="95" t="n"/>
      <c r="F165" s="95" t="n"/>
    </row>
    <row r="166" ht="36" customHeight="1" s="38">
      <c r="A166" s="97" t="n"/>
      <c r="B166" s="97" t="n"/>
      <c r="C166" s="90" t="inlineStr">
        <is>
          <t>Phoma</t>
        </is>
      </c>
      <c r="D166" s="91" t="inlineStr">
        <is>
          <t>Semences saines ; rotation</t>
        </is>
      </c>
      <c r="E166" s="95" t="n"/>
      <c r="F166" s="95" t="n"/>
    </row>
    <row r="167" ht="36" customHeight="1" s="38">
      <c r="A167" s="89" t="inlineStr">
        <is>
          <t>Légumes-feuilles</t>
        </is>
      </c>
      <c r="B167" s="64" t="inlineStr">
        <is>
          <t>Épinard</t>
        </is>
      </c>
      <c r="C167" s="90" t="inlineStr">
        <is>
          <t>Mildiou (Peronospora farinosa)</t>
        </is>
      </c>
      <c r="D167" s="91" t="inlineStr">
        <is>
          <t>Variétés résistantes ; rotation 3+ ans ; cuivre préventif</t>
        </is>
      </c>
      <c r="E167" s="92" t="inlineStr">
        <is>
          <t>Pucerons</t>
        </is>
      </c>
      <c r="F167" s="93" t="inlineStr">
        <is>
          <t>Savon noir ; auxiliaires</t>
        </is>
      </c>
    </row>
    <row r="168" ht="36" customHeight="1" s="38">
      <c r="A168" s="96" t="n"/>
      <c r="B168" s="96" t="n"/>
      <c r="C168" s="90" t="inlineStr">
        <is>
          <t>Cladosporiose</t>
        </is>
      </c>
      <c r="D168" s="91" t="inlineStr">
        <is>
          <t>Aération ; rotation</t>
        </is>
      </c>
      <c r="E168" s="92" t="inlineStr">
        <is>
          <t>Mineuses (Pegomya)</t>
        </is>
      </c>
      <c r="F168" s="93" t="inlineStr">
        <is>
          <t>Filet anti-insectes ; éliminer feuilles atteintes</t>
        </is>
      </c>
    </row>
    <row r="169" ht="36" customHeight="1" s="38">
      <c r="A169" s="96" t="n"/>
      <c r="B169" s="96" t="n"/>
      <c r="C169" s="90" t="inlineStr">
        <is>
          <t>Cercosporiose</t>
        </is>
      </c>
      <c r="D169" s="91" t="inlineStr">
        <is>
          <t>Rotation ; éliminer débris ; cuivre préventif</t>
        </is>
      </c>
      <c r="E169" s="92" t="inlineStr">
        <is>
          <t>Limaces</t>
        </is>
      </c>
      <c r="F169" s="93" t="inlineStr">
        <is>
          <t>Piégeage ; ferramol</t>
        </is>
      </c>
    </row>
    <row r="170" ht="36" customHeight="1" s="38">
      <c r="A170" s="97" t="n"/>
      <c r="B170" s="97" t="n"/>
      <c r="C170" s="90" t="inlineStr">
        <is>
          <t>Virus (mosaïque)</t>
        </is>
      </c>
      <c r="D170" s="91" t="inlineStr">
        <is>
          <t>Lutte contre pucerons vecteurs</t>
        </is>
      </c>
      <c r="E170" s="92" t="inlineStr">
        <is>
          <t>Noctuelles</t>
        </is>
      </c>
      <c r="F170" s="93" t="inlineStr">
        <is>
          <t>Bt ; piégeage</t>
        </is>
      </c>
    </row>
    <row r="171" ht="36" customHeight="1" s="38">
      <c r="A171" s="89" t="inlineStr">
        <is>
          <t>Légumes-feuilles</t>
        </is>
      </c>
      <c r="B171" s="64" t="inlineStr">
        <is>
          <t>Roquette</t>
        </is>
      </c>
      <c r="C171" s="90" t="inlineStr">
        <is>
          <t>Mildiou</t>
        </is>
      </c>
      <c r="D171" s="91" t="inlineStr">
        <is>
          <t>Cuivre préventif ; aération</t>
        </is>
      </c>
      <c r="E171" s="92" t="inlineStr">
        <is>
          <t>Altises (importantes)</t>
        </is>
      </c>
      <c r="F171" s="93" t="inlineStr">
        <is>
          <t>Filet anti-insectes IMPÉRATIF ; sols humides ; arrosage par aspersion fréquent</t>
        </is>
      </c>
    </row>
    <row r="172" ht="36" customHeight="1" s="38">
      <c r="A172" s="96" t="n"/>
      <c r="B172" s="96" t="n"/>
      <c r="C172" s="90" t="inlineStr">
        <is>
          <t>Alternariose</t>
        </is>
      </c>
      <c r="D172" s="91" t="inlineStr">
        <is>
          <t>Semences saines ; rotation</t>
        </is>
      </c>
      <c r="E172" s="92" t="inlineStr">
        <is>
          <t>Pucerons</t>
        </is>
      </c>
      <c r="F172" s="93" t="inlineStr">
        <is>
          <t>Savon noir</t>
        </is>
      </c>
    </row>
    <row r="173" ht="36" customHeight="1" s="38">
      <c r="A173" s="97" t="n"/>
      <c r="B173" s="97" t="n"/>
      <c r="C173" s="90" t="inlineStr">
        <is>
          <t>Sclerotinia</t>
        </is>
      </c>
      <c r="D173" s="91" t="inlineStr">
        <is>
          <t>CONTANS WG ; drainage</t>
        </is>
      </c>
      <c r="E173" s="92" t="inlineStr">
        <is>
          <t>Limaces</t>
        </is>
      </c>
      <c r="F173" s="93" t="inlineStr">
        <is>
          <t>Piégeage ; ferramol</t>
        </is>
      </c>
    </row>
    <row r="174" ht="36" customHeight="1" s="38">
      <c r="A174" s="89" t="inlineStr">
        <is>
          <t>Racines</t>
        </is>
      </c>
      <c r="B174" s="64" t="inlineStr">
        <is>
          <t>Carotte</t>
        </is>
      </c>
      <c r="C174" s="90" t="inlineStr">
        <is>
          <t>Alternariose</t>
        </is>
      </c>
      <c r="D174" s="91" t="inlineStr">
        <is>
          <t>Semences saines (traitement vinaigre possible) ; rotation 5+ ans ; éliminer débris</t>
        </is>
      </c>
      <c r="E174" s="92" t="inlineStr">
        <is>
          <t>Mouche de la carotte (Psila rosae)</t>
        </is>
      </c>
      <c r="F174" s="93" t="inlineStr">
        <is>
          <t>Filet anti-insectes IMPÉRATIF (mailles 1,3 mm) ; rotation 5+ ans ; éloigner des cultures précédentes</t>
        </is>
      </c>
    </row>
    <row r="175" ht="36" customHeight="1" s="38">
      <c r="A175" s="96" t="n"/>
      <c r="B175" s="96" t="n"/>
      <c r="C175" s="90" t="inlineStr">
        <is>
          <t>Oïdium</t>
        </is>
      </c>
      <c r="D175" s="91" t="inlineStr">
        <is>
          <t>Soufre mouillable (KUMULUS DF, max 6 kg/ha sur carotte)</t>
        </is>
      </c>
      <c r="E175" s="92" t="inlineStr">
        <is>
          <t>Pucerons</t>
        </is>
      </c>
      <c r="F175" s="93" t="inlineStr">
        <is>
          <t>Savon noir</t>
        </is>
      </c>
    </row>
    <row r="176" ht="36" customHeight="1" s="38">
      <c r="A176" s="96" t="n"/>
      <c r="B176" s="96" t="n"/>
      <c r="C176" s="90" t="inlineStr">
        <is>
          <t>Sclerotinia</t>
        </is>
      </c>
      <c r="D176" s="91" t="inlineStr">
        <is>
          <t>CONTANS WG ; rotation ; drainage</t>
        </is>
      </c>
      <c r="E176" s="92" t="inlineStr">
        <is>
          <t>Nématodes</t>
        </is>
      </c>
      <c r="F176" s="93" t="inlineStr">
        <is>
          <t>Rotation avec non-hôtes ; engrais vert (céréales, crucifères, tagètes)</t>
        </is>
      </c>
    </row>
    <row r="177" ht="36" customHeight="1" s="38">
      <c r="A177" s="96" t="n"/>
      <c r="B177" s="96" t="n"/>
      <c r="C177" s="90" t="inlineStr">
        <is>
          <t>Cavity spot (Pythium)</t>
        </is>
      </c>
      <c r="D177" s="91" t="inlineStr">
        <is>
          <t>Drainage ; éviter excès d'eau ; rotation longue</t>
        </is>
      </c>
      <c r="E177" s="92" t="inlineStr">
        <is>
          <t>Campagnols</t>
        </is>
      </c>
      <c r="F177" s="93" t="inlineStr">
        <is>
          <t>Pièges ; favoriser rapaces (perchoirs)</t>
        </is>
      </c>
    </row>
    <row r="178" ht="36" customHeight="1" s="38">
      <c r="A178" s="97" t="n"/>
      <c r="B178" s="97" t="n"/>
      <c r="C178" s="90" t="inlineStr">
        <is>
          <t>Rhizoctone violet</t>
        </is>
      </c>
      <c r="D178" s="91" t="inlineStr">
        <is>
          <t>Rotation longue ; semences/plants sains ; substrat désinfecté ; éviter humidité de surface</t>
        </is>
      </c>
      <c r="E178" s="95" t="n"/>
      <c r="F178" s="95" t="n"/>
    </row>
    <row r="179" ht="36" customHeight="1" s="38">
      <c r="A179" s="89" t="inlineStr">
        <is>
          <t>Racines</t>
        </is>
      </c>
      <c r="B179" s="64" t="inlineStr">
        <is>
          <t>Betterave</t>
        </is>
      </c>
      <c r="C179" s="90" t="inlineStr">
        <is>
          <t>Cercosporiose</t>
        </is>
      </c>
      <c r="D179" s="91" t="inlineStr">
        <is>
          <t>Semences saines ; rotation 4+ ans ; cuivre préventif si forte pression ; éliminer débris</t>
        </is>
      </c>
      <c r="E179" s="92" t="inlineStr">
        <is>
          <t>Mouche de la betterave (Pegomya)</t>
        </is>
      </c>
      <c r="F179" s="93" t="inlineStr">
        <is>
          <t>Filet anti-insectes ; éliminer feuilles atteintes</t>
        </is>
      </c>
    </row>
    <row r="180" ht="36" customHeight="1" s="38">
      <c r="A180" s="96" t="n"/>
      <c r="B180" s="96" t="n"/>
      <c r="C180" s="90" t="inlineStr">
        <is>
          <t>Rouille</t>
        </is>
      </c>
      <c r="D180" s="91" t="inlineStr">
        <is>
          <t>Variétés tolérantes ; cuivre préventif</t>
        </is>
      </c>
      <c r="E180" s="92" t="inlineStr">
        <is>
          <t>Pucerons noirs</t>
        </is>
      </c>
      <c r="F180" s="93" t="inlineStr">
        <is>
          <t>Savon noir ; PBI Aphidius</t>
        </is>
      </c>
    </row>
    <row r="181" ht="36" customHeight="1" s="38">
      <c r="A181" s="96" t="n"/>
      <c r="B181" s="96" t="n"/>
      <c r="C181" s="90" t="inlineStr">
        <is>
          <t>Rhizomanie</t>
        </is>
      </c>
      <c r="D181" s="91" t="inlineStr">
        <is>
          <t>Rotation longue ; variétés résistantes</t>
        </is>
      </c>
      <c r="E181" s="92" t="inlineStr">
        <is>
          <t>Altises</t>
        </is>
      </c>
      <c r="F181" s="93" t="inlineStr">
        <is>
          <t>Filet anti-insectes ; aspersion</t>
        </is>
      </c>
    </row>
    <row r="182" ht="36" customHeight="1" s="38">
      <c r="A182" s="96" t="n"/>
      <c r="B182" s="96" t="n"/>
      <c r="C182" s="90" t="inlineStr">
        <is>
          <t>Pourriture du collet</t>
        </is>
      </c>
      <c r="D182" s="91" t="inlineStr">
        <is>
          <t>Drainage ; rotation ; éviter blessures à la récolte</t>
        </is>
      </c>
      <c r="E182" s="92" t="inlineStr">
        <is>
          <t>Tipule</t>
        </is>
      </c>
      <c r="F182" s="93" t="inlineStr">
        <is>
          <t>Rotation ; travail du sol</t>
        </is>
      </c>
    </row>
    <row r="183" ht="36" customHeight="1" s="38">
      <c r="A183" s="97" t="n"/>
      <c r="B183" s="97" t="n"/>
      <c r="C183" s="95" t="n"/>
      <c r="D183" s="95" t="n"/>
      <c r="E183" s="92" t="inlineStr">
        <is>
          <t>Lixus juncii</t>
        </is>
      </c>
      <c r="F183" s="93" t="inlineStr">
        <is>
          <t>Surveillance automne ; rotation</t>
        </is>
      </c>
    </row>
    <row r="184" ht="36" customHeight="1" s="38">
      <c r="A184" s="89" t="inlineStr">
        <is>
          <t>Racines</t>
        </is>
      </c>
      <c r="B184" s="64" t="inlineStr">
        <is>
          <t>Blette</t>
        </is>
      </c>
      <c r="C184" s="90" t="inlineStr">
        <is>
          <t>Cercosporiose</t>
        </is>
      </c>
      <c r="D184" s="91" t="inlineStr">
        <is>
          <t>Semences saines ; rotation ; cuivre préventif</t>
        </is>
      </c>
      <c r="E184" s="92" t="inlineStr">
        <is>
          <t>Mineuse de la betterave (Pegomya)</t>
        </is>
      </c>
      <c r="F184" s="93" t="inlineStr">
        <is>
          <t>Filet anti-insectes ; éliminer feuilles atteintes</t>
        </is>
      </c>
    </row>
    <row r="185" ht="36" customHeight="1" s="38">
      <c r="A185" s="96" t="n"/>
      <c r="B185" s="96" t="n"/>
      <c r="C185" s="90" t="inlineStr">
        <is>
          <t>Rouille</t>
        </is>
      </c>
      <c r="D185" s="91" t="inlineStr">
        <is>
          <t>Variétés tolérantes</t>
        </is>
      </c>
      <c r="E185" s="92" t="inlineStr">
        <is>
          <t>Pucerons</t>
        </is>
      </c>
      <c r="F185" s="93" t="inlineStr">
        <is>
          <t>Savon noir</t>
        </is>
      </c>
    </row>
    <row r="186" ht="36" customHeight="1" s="38">
      <c r="A186" s="96" t="n"/>
      <c r="B186" s="96" t="n"/>
      <c r="C186" s="90" t="inlineStr">
        <is>
          <t>Mildiou</t>
        </is>
      </c>
      <c r="D186" s="91" t="inlineStr">
        <is>
          <t>Cuivre préventif</t>
        </is>
      </c>
      <c r="E186" s="92" t="inlineStr">
        <is>
          <t>Limaces</t>
        </is>
      </c>
      <c r="F186" s="93" t="inlineStr">
        <is>
          <t>Piégeage ; ferramol</t>
        </is>
      </c>
    </row>
    <row r="187" ht="36" customHeight="1" s="38">
      <c r="A187" s="96" t="n"/>
      <c r="B187" s="96" t="n"/>
      <c r="C187" s="90" t="inlineStr">
        <is>
          <t>Phoma</t>
        </is>
      </c>
      <c r="D187" s="91" t="inlineStr">
        <is>
          <t>Semences saines ; rotation</t>
        </is>
      </c>
      <c r="E187" s="92" t="inlineStr">
        <is>
          <t>Altises</t>
        </is>
      </c>
      <c r="F187" s="93" t="inlineStr">
        <is>
          <t>Filet anti-insectes</t>
        </is>
      </c>
    </row>
    <row r="188" ht="36" customHeight="1" s="38">
      <c r="A188" s="97" t="n"/>
      <c r="B188" s="97" t="n"/>
      <c r="C188" s="95" t="n"/>
      <c r="D188" s="95" t="n"/>
      <c r="E188" s="92" t="inlineStr">
        <is>
          <t>Lixus juncii</t>
        </is>
      </c>
      <c r="F188" s="93" t="inlineStr">
        <is>
          <t>Surveillance automne</t>
        </is>
      </c>
    </row>
    <row r="189" ht="36" customHeight="1" s="38">
      <c r="A189" s="89" t="inlineStr">
        <is>
          <t>Racines</t>
        </is>
      </c>
      <c r="B189" s="64" t="inlineStr">
        <is>
          <t>Panais</t>
        </is>
      </c>
      <c r="C189" s="90" t="inlineStr">
        <is>
          <t>Alternariose</t>
        </is>
      </c>
      <c r="D189" s="91" t="inlineStr">
        <is>
          <t>Semences saines ; rotation 6+ ans (Apiacées)</t>
        </is>
      </c>
      <c r="E189" s="92" t="inlineStr">
        <is>
          <t>Mouche de la carotte</t>
        </is>
      </c>
      <c r="F189" s="93" t="inlineStr">
        <is>
          <t>Filet anti-insectes IMPÉRATIF ; rotation 6+ ans</t>
        </is>
      </c>
    </row>
    <row r="190" ht="36" customHeight="1" s="38">
      <c r="A190" s="96" t="n"/>
      <c r="B190" s="96" t="n"/>
      <c r="C190" s="90" t="inlineStr">
        <is>
          <t>Oïdium</t>
        </is>
      </c>
      <c r="D190" s="91" t="inlineStr">
        <is>
          <t>Soufre mouillable</t>
        </is>
      </c>
      <c r="E190" s="92" t="inlineStr">
        <is>
          <t>Pucerons</t>
        </is>
      </c>
      <c r="F190" s="93" t="inlineStr">
        <is>
          <t>Savon noir</t>
        </is>
      </c>
    </row>
    <row r="191" ht="36" customHeight="1" s="38">
      <c r="A191" s="96" t="n"/>
      <c r="B191" s="96" t="n"/>
      <c r="C191" s="90" t="inlineStr">
        <is>
          <t>Sclerotinia</t>
        </is>
      </c>
      <c r="D191" s="91" t="inlineStr">
        <is>
          <t>CONTANS WG ; drainage</t>
        </is>
      </c>
      <c r="E191" s="92" t="inlineStr">
        <is>
          <t>Nématodes</t>
        </is>
      </c>
      <c r="F191" s="93" t="inlineStr">
        <is>
          <t>Rotation avec non-hôtes ; engrais vert</t>
        </is>
      </c>
    </row>
    <row r="192" ht="36" customHeight="1" s="38">
      <c r="A192" s="96" t="n"/>
      <c r="B192" s="96" t="n"/>
      <c r="C192" s="90" t="inlineStr">
        <is>
          <t>Mildiou</t>
        </is>
      </c>
      <c r="D192" s="91" t="inlineStr">
        <is>
          <t>Cuivre préventif</t>
        </is>
      </c>
      <c r="E192" s="95" t="n"/>
      <c r="F192" s="95" t="n"/>
    </row>
    <row r="193" ht="36" customHeight="1" s="38">
      <c r="A193" s="97" t="n"/>
      <c r="B193" s="97" t="n"/>
      <c r="C193" s="90" t="inlineStr">
        <is>
          <t>Cavity spot</t>
        </is>
      </c>
      <c r="D193" s="91" t="inlineStr">
        <is>
          <t>Drainage ; rotation</t>
        </is>
      </c>
      <c r="E193" s="95" t="n"/>
      <c r="F193" s="95" t="n"/>
    </row>
    <row r="194" ht="36" customHeight="1" s="38">
      <c r="A194" s="89" t="inlineStr">
        <is>
          <t>Racines</t>
        </is>
      </c>
      <c r="B194" s="64" t="inlineStr">
        <is>
          <t>Radis noir</t>
        </is>
      </c>
      <c r="C194" s="90" t="inlineStr">
        <is>
          <t>Mildiou</t>
        </is>
      </c>
      <c r="D194" s="91" t="inlineStr">
        <is>
          <t>Cuivre préventif</t>
        </is>
      </c>
      <c r="E194" s="92" t="inlineStr">
        <is>
          <t>Altises (très importantes)</t>
        </is>
      </c>
      <c r="F194" s="93" t="inlineStr">
        <is>
          <t>Filet anti-insectes IMPÉRATIF ; sols humides ; aspersion</t>
        </is>
      </c>
    </row>
    <row r="195" ht="36" customHeight="1" s="38">
      <c r="A195" s="96" t="n"/>
      <c r="B195" s="96" t="n"/>
      <c r="C195" s="90" t="inlineStr">
        <is>
          <t>Alternariose</t>
        </is>
      </c>
      <c r="D195" s="91" t="inlineStr">
        <is>
          <t>Semences saines ; rotation</t>
        </is>
      </c>
      <c r="E195" s="92" t="inlineStr">
        <is>
          <t>Mouche du chou</t>
        </is>
      </c>
      <c r="F195" s="93" t="inlineStr">
        <is>
          <t>Filet anti-insectes ; rotation 4+ ans</t>
        </is>
      </c>
    </row>
    <row r="196" ht="36" customHeight="1" s="38">
      <c r="A196" s="97" t="n"/>
      <c r="B196" s="97" t="n"/>
      <c r="C196" s="90" t="inlineStr">
        <is>
          <t>Oïdium</t>
        </is>
      </c>
      <c r="D196" s="91" t="inlineStr">
        <is>
          <t>Soufre mouillable</t>
        </is>
      </c>
      <c r="E196" s="92" t="inlineStr">
        <is>
          <t>Pucerons</t>
        </is>
      </c>
      <c r="F196" s="93" t="inlineStr">
        <is>
          <t>Savon noir</t>
        </is>
      </c>
    </row>
    <row r="197" ht="36" customHeight="1" s="38">
      <c r="A197" s="89" t="inlineStr">
        <is>
          <t>Autres</t>
        </is>
      </c>
      <c r="B197" s="64" t="inlineStr">
        <is>
          <t>Maïs doux</t>
        </is>
      </c>
      <c r="C197" s="90" t="inlineStr">
        <is>
          <t>Helminthosporiose</t>
        </is>
      </c>
      <c r="D197" s="91" t="inlineStr">
        <is>
          <t>Variétés tolérantes ; rotation 3+ ans ; éliminer débris</t>
        </is>
      </c>
      <c r="E197" s="92" t="inlineStr">
        <is>
          <t>Pyrale du maïs (Ostrinia)</t>
        </is>
      </c>
      <c r="F197" s="93" t="inlineStr">
        <is>
          <t>Trichogramma (lâchers en juin/juillet) ; rotation ; broyage des résidus</t>
        </is>
      </c>
    </row>
    <row r="198" ht="36" customHeight="1" s="38">
      <c r="A198" s="96" t="n"/>
      <c r="B198" s="96" t="n"/>
      <c r="C198" s="90" t="inlineStr">
        <is>
          <t>Charbon (Ustilago)</t>
        </is>
      </c>
      <c r="D198" s="91" t="inlineStr">
        <is>
          <t>Semences saines ; rotation ; éliminer plants atteints (ne pas composter)</t>
        </is>
      </c>
      <c r="E198" s="92" t="inlineStr">
        <is>
          <t>Sésamie</t>
        </is>
      </c>
      <c r="F198" s="93" t="inlineStr">
        <is>
          <t>Trichogramma ; rotation ; broyage des résidus</t>
        </is>
      </c>
    </row>
    <row r="199" ht="36" customHeight="1" s="38">
      <c r="A199" s="96" t="n"/>
      <c r="B199" s="96" t="n"/>
      <c r="C199" s="90" t="inlineStr">
        <is>
          <t>Fusariose</t>
        </is>
      </c>
      <c r="D199" s="91" t="inlineStr">
        <is>
          <t>Rotation ; éviter blessures ; semences saines</t>
        </is>
      </c>
      <c r="E199" s="92" t="inlineStr">
        <is>
          <t>Pucerons</t>
        </is>
      </c>
      <c r="F199" s="93" t="inlineStr">
        <is>
          <t>Savon noir ; auxiliaires</t>
        </is>
      </c>
    </row>
    <row r="200" ht="36" customHeight="1" s="38">
      <c r="A200" s="97" t="n"/>
      <c r="B200" s="97" t="n"/>
      <c r="C200" s="90" t="inlineStr">
        <is>
          <t>Rouille</t>
        </is>
      </c>
      <c r="D200" s="91" t="inlineStr">
        <is>
          <t>Variétés tolérantes</t>
        </is>
      </c>
      <c r="E200" s="92" t="inlineStr">
        <is>
          <t>Corbeaux et oiseaux</t>
        </is>
      </c>
      <c r="F200" s="93" t="inlineStr">
        <is>
          <t>Filets à la levée ; effaroucheurs ; semis groupés</t>
        </is>
      </c>
    </row>
    <row r="201" ht="36" customHeight="1" s="38">
      <c r="A201" s="89" t="inlineStr">
        <is>
          <t>Autres</t>
        </is>
      </c>
      <c r="B201" s="64" t="inlineStr">
        <is>
          <t>Fenouil</t>
        </is>
      </c>
      <c r="C201" s="90" t="inlineStr">
        <is>
          <t>Sclerotinia</t>
        </is>
      </c>
      <c r="D201" s="91" t="inlineStr">
        <is>
          <t>CONTANS WG ; drainage ; aération</t>
        </is>
      </c>
      <c r="E201" s="92" t="inlineStr">
        <is>
          <t>Pucerons</t>
        </is>
      </c>
      <c r="F201" s="93" t="inlineStr">
        <is>
          <t>Savon noir</t>
        </is>
      </c>
    </row>
    <row r="202" ht="36" customHeight="1" s="38">
      <c r="A202" s="96" t="n"/>
      <c r="B202" s="96" t="n"/>
      <c r="C202" s="90" t="inlineStr">
        <is>
          <t>Alternariose</t>
        </is>
      </c>
      <c r="D202" s="91" t="inlineStr">
        <is>
          <t>Semences saines ; rotation longue (Apiacées)</t>
        </is>
      </c>
      <c r="E202" s="92" t="inlineStr">
        <is>
          <t>Mouche de la carotte</t>
        </is>
      </c>
      <c r="F202" s="93" t="inlineStr">
        <is>
          <t>Filet anti-insectes</t>
        </is>
      </c>
    </row>
    <row r="203" ht="36" customHeight="1" s="38">
      <c r="A203" s="96" t="n"/>
      <c r="B203" s="96" t="n"/>
      <c r="C203" s="90" t="inlineStr">
        <is>
          <t>Cercosporiose</t>
        </is>
      </c>
      <c r="D203" s="91" t="inlineStr">
        <is>
          <t>Rotation ; éliminer débris</t>
        </is>
      </c>
      <c r="E203" s="92" t="inlineStr">
        <is>
          <t>Limaces</t>
        </is>
      </c>
      <c r="F203" s="93" t="inlineStr">
        <is>
          <t>Piégeage ; ferramol</t>
        </is>
      </c>
    </row>
    <row r="204" ht="36" customHeight="1" s="38">
      <c r="A204" s="97" t="n"/>
      <c r="B204" s="97" t="n"/>
      <c r="C204" s="90" t="inlineStr">
        <is>
          <t>Mildiou</t>
        </is>
      </c>
      <c r="D204" s="91" t="inlineStr">
        <is>
          <t>Cuivre préventif</t>
        </is>
      </c>
      <c r="E204" s="92" t="inlineStr">
        <is>
          <t>Chenilles défoliatrices</t>
        </is>
      </c>
      <c r="F204" s="93" t="inlineStr">
        <is>
          <t>Bt ; ramassage</t>
        </is>
      </c>
    </row>
    <row r="205" ht="36" customHeight="1" s="38">
      <c r="A205" s="89" t="inlineStr">
        <is>
          <t>Autres</t>
        </is>
      </c>
      <c r="B205" s="64" t="inlineStr">
        <is>
          <t>Céleri branche</t>
        </is>
      </c>
      <c r="C205" s="90" t="inlineStr">
        <is>
          <t>Septoriose (très fréquente)</t>
        </is>
      </c>
      <c r="D205" s="91" t="inlineStr">
        <is>
          <t>Semences traitées au vinaigre ; éviter aspersion fin d'été (orages = septoriose) ; rotation 4+ ans ; cuivre préventif</t>
        </is>
      </c>
      <c r="E205" s="92" t="inlineStr">
        <is>
          <t>Mouche du céleri (Philophylla)</t>
        </is>
      </c>
      <c r="F205" s="93" t="inlineStr">
        <is>
          <t>Filet anti-insectes ; éliminer feuilles atteintes</t>
        </is>
      </c>
    </row>
    <row r="206" ht="36" customHeight="1" s="38">
      <c r="A206" s="96" t="n"/>
      <c r="B206" s="96" t="n"/>
      <c r="C206" s="90" t="inlineStr">
        <is>
          <t>Sclerotinia</t>
        </is>
      </c>
      <c r="D206" s="91" t="inlineStr">
        <is>
          <t>CONTANS WG ; drainage</t>
        </is>
      </c>
      <c r="E206" s="92" t="inlineStr">
        <is>
          <t>Pucerons</t>
        </is>
      </c>
      <c r="F206" s="93" t="inlineStr">
        <is>
          <t>Savon noir ; PBI Aphidius</t>
        </is>
      </c>
    </row>
    <row r="207" ht="36" customHeight="1" s="38">
      <c r="A207" s="96" t="n"/>
      <c r="B207" s="96" t="n"/>
      <c r="C207" s="90" t="inlineStr">
        <is>
          <t>Mildiou</t>
        </is>
      </c>
      <c r="D207" s="91" t="inlineStr">
        <is>
          <t>Cuivre préventif ; aération</t>
        </is>
      </c>
      <c r="E207" s="92" t="inlineStr">
        <is>
          <t>Limaces</t>
        </is>
      </c>
      <c r="F207" s="93" t="inlineStr">
        <is>
          <t>Piégeage ; ferramol</t>
        </is>
      </c>
    </row>
    <row r="208" ht="36" customHeight="1" s="38">
      <c r="A208" s="97" t="n"/>
      <c r="B208" s="97" t="n"/>
      <c r="C208" s="90" t="inlineStr">
        <is>
          <t>Cœur noir (carence Ca/B)</t>
        </is>
      </c>
      <c r="D208" s="91" t="inlineStr">
        <is>
          <t>Apport bore + calcium ; arrosage régulier</t>
        </is>
      </c>
      <c r="E208" s="92" t="inlineStr">
        <is>
          <t>Nématodes</t>
        </is>
      </c>
      <c r="F208" s="93" t="inlineStr">
        <is>
          <t>Rotation ; engrais vert (tagètes, crucifères)</t>
        </is>
      </c>
    </row>
    <row r="209" ht="36" customHeight="1" s="38">
      <c r="A209" s="89" t="inlineStr">
        <is>
          <t>Autres</t>
        </is>
      </c>
      <c r="B209" s="64" t="inlineStr">
        <is>
          <t>Céleri-rave</t>
        </is>
      </c>
      <c r="C209" s="90" t="inlineStr">
        <is>
          <t>Septoriose</t>
        </is>
      </c>
      <c r="D209" s="91" t="inlineStr">
        <is>
          <t>Semences traitées au vinaigre ; éviter aspersion ; rotation 4+ ans ; cuivre préventif</t>
        </is>
      </c>
      <c r="E209" s="92" t="inlineStr">
        <is>
          <t>Mouche du céleri</t>
        </is>
      </c>
      <c r="F209" s="93" t="inlineStr">
        <is>
          <t>Filet anti-insectes</t>
        </is>
      </c>
    </row>
    <row r="210" ht="36" customHeight="1" s="38">
      <c r="A210" s="96" t="n"/>
      <c r="B210" s="96" t="n"/>
      <c r="C210" s="90" t="inlineStr">
        <is>
          <t>Sclerotinia</t>
        </is>
      </c>
      <c r="D210" s="91" t="inlineStr">
        <is>
          <t>CONTANS WG ; drainage</t>
        </is>
      </c>
      <c r="E210" s="92" t="inlineStr">
        <is>
          <t>Pucerons</t>
        </is>
      </c>
      <c r="F210" s="93" t="inlineStr">
        <is>
          <t>Savon noir</t>
        </is>
      </c>
    </row>
    <row r="211" ht="36" customHeight="1" s="38">
      <c r="A211" s="96" t="n"/>
      <c r="B211" s="96" t="n"/>
      <c r="C211" s="90" t="inlineStr">
        <is>
          <t>Rouille</t>
        </is>
      </c>
      <c r="D211" s="91" t="inlineStr">
        <is>
          <t>Variétés tolérantes</t>
        </is>
      </c>
      <c r="E211" s="92" t="inlineStr">
        <is>
          <t>Limaces</t>
        </is>
      </c>
      <c r="F211" s="93" t="inlineStr">
        <is>
          <t>Piégeage ; ferramol</t>
        </is>
      </c>
    </row>
    <row r="212" ht="36" customHeight="1" s="38">
      <c r="A212" s="96" t="n"/>
      <c r="B212" s="96" t="n"/>
      <c r="C212" s="90" t="inlineStr">
        <is>
          <t>Mildiou</t>
        </is>
      </c>
      <c r="D212" s="91" t="inlineStr">
        <is>
          <t>Cuivre préventif</t>
        </is>
      </c>
      <c r="E212" s="92" t="inlineStr">
        <is>
          <t>Nématodes</t>
        </is>
      </c>
      <c r="F212" s="93" t="inlineStr">
        <is>
          <t>Rotation ; engrais vert</t>
        </is>
      </c>
    </row>
    <row r="213" ht="36" customHeight="1" s="38">
      <c r="A213" s="97" t="n"/>
      <c r="B213" s="97" t="n"/>
      <c r="C213" s="90" t="inlineStr">
        <is>
          <t>Cœur noir (carence B)</t>
        </is>
      </c>
      <c r="D213" s="91" t="inlineStr">
        <is>
          <t>Apport bore essentiel</t>
        </is>
      </c>
      <c r="E213" s="95" t="n"/>
      <c r="F213" s="95" t="n"/>
    </row>
    <row r="214" ht="36" customHeight="1" s="38">
      <c r="A214" s="89" t="inlineStr">
        <is>
          <t>Autres</t>
        </is>
      </c>
      <c r="B214" s="64" t="inlineStr">
        <is>
          <t>Chicorée</t>
        </is>
      </c>
      <c r="C214" s="90" t="inlineStr">
        <is>
          <t>Mildiou</t>
        </is>
      </c>
      <c r="D214" s="91" t="inlineStr">
        <is>
          <t>Cuivre préventif ; aération</t>
        </is>
      </c>
      <c r="E214" s="92" t="inlineStr">
        <is>
          <t>Pucerons</t>
        </is>
      </c>
      <c r="F214" s="93" t="inlineStr">
        <is>
          <t>Savon noir</t>
        </is>
      </c>
    </row>
    <row r="215" ht="36" customHeight="1" s="38">
      <c r="A215" s="96" t="n"/>
      <c r="B215" s="96" t="n"/>
      <c r="C215" s="90" t="inlineStr">
        <is>
          <t>Sclerotinia</t>
        </is>
      </c>
      <c r="D215" s="91" t="inlineStr">
        <is>
          <t>CONTANS WG ; drainage ; rotation</t>
        </is>
      </c>
      <c r="E215" s="92" t="inlineStr">
        <is>
          <t>Limaces</t>
        </is>
      </c>
      <c r="F215" s="93" t="inlineStr">
        <is>
          <t>Piégeage ; ferramol</t>
        </is>
      </c>
    </row>
    <row r="216" ht="36" customHeight="1" s="38">
      <c r="A216" s="96" t="n"/>
      <c r="B216" s="96" t="n"/>
      <c r="C216" s="90" t="inlineStr">
        <is>
          <t>Pourriture grise</t>
        </is>
      </c>
      <c r="D216" s="91" t="inlineStr">
        <is>
          <t>Aération ; éliminer plants atteints</t>
        </is>
      </c>
      <c r="E216" s="92" t="inlineStr">
        <is>
          <t>Noctuelles</t>
        </is>
      </c>
      <c r="F216" s="93" t="inlineStr">
        <is>
          <t>Bt ; piégeage</t>
        </is>
      </c>
    </row>
    <row r="217" ht="36" customHeight="1" s="38">
      <c r="A217" s="97" t="n"/>
      <c r="B217" s="97" t="n"/>
      <c r="C217" s="90" t="inlineStr">
        <is>
          <t>Oïdium</t>
        </is>
      </c>
      <c r="D217" s="91" t="inlineStr">
        <is>
          <t>Soufre mouillable</t>
        </is>
      </c>
      <c r="E217" s="92" t="inlineStr">
        <is>
          <t>Thrips</t>
        </is>
      </c>
      <c r="F217" s="93" t="inlineStr">
        <is>
          <t>PBI Orius</t>
        </is>
      </c>
    </row>
  </sheetData>
  <mergeCells count="92">
    <mergeCell ref="B162:B166"/>
    <mergeCell ref="B68:B70"/>
    <mergeCell ref="B34:B40"/>
    <mergeCell ref="A194:A196"/>
    <mergeCell ref="A68:A70"/>
    <mergeCell ref="A171:A173"/>
    <mergeCell ref="A29:A33"/>
    <mergeCell ref="A105:A108"/>
    <mergeCell ref="A71:A74"/>
    <mergeCell ref="B85:B89"/>
    <mergeCell ref="B132:B137"/>
    <mergeCell ref="A58:A62"/>
    <mergeCell ref="A138:A142"/>
    <mergeCell ref="B116:B121"/>
    <mergeCell ref="A2:A5"/>
    <mergeCell ref="B158:B161"/>
    <mergeCell ref="B6:B9"/>
    <mergeCell ref="A147:A152"/>
    <mergeCell ref="A116:A121"/>
    <mergeCell ref="A10:A13"/>
    <mergeCell ref="A189:A193"/>
    <mergeCell ref="A143:A146"/>
    <mergeCell ref="B95:B100"/>
    <mergeCell ref="A18:A22"/>
    <mergeCell ref="B171:B173"/>
    <mergeCell ref="B214:B217"/>
    <mergeCell ref="A205:A208"/>
    <mergeCell ref="B2:B5"/>
    <mergeCell ref="B105:B108"/>
    <mergeCell ref="A122:A126"/>
    <mergeCell ref="B189:B193"/>
    <mergeCell ref="B101:B104"/>
    <mergeCell ref="A34:A40"/>
    <mergeCell ref="B138:B142"/>
    <mergeCell ref="B209:B213"/>
    <mergeCell ref="B143:B146"/>
    <mergeCell ref="B205:B208"/>
    <mergeCell ref="B75:B79"/>
    <mergeCell ref="A23:A28"/>
    <mergeCell ref="A153:A157"/>
    <mergeCell ref="A162:A166"/>
    <mergeCell ref="A201:A204"/>
    <mergeCell ref="A90:A94"/>
    <mergeCell ref="A197:A200"/>
    <mergeCell ref="B109:B112"/>
    <mergeCell ref="B29:B33"/>
    <mergeCell ref="A179:A183"/>
    <mergeCell ref="B174:B178"/>
    <mergeCell ref="A85:A89"/>
    <mergeCell ref="B71:B74"/>
    <mergeCell ref="A132:A137"/>
    <mergeCell ref="A41:A46"/>
    <mergeCell ref="B127:B131"/>
    <mergeCell ref="B47:B52"/>
    <mergeCell ref="A53:A57"/>
    <mergeCell ref="B63:B67"/>
    <mergeCell ref="A158:A161"/>
    <mergeCell ref="B113:B115"/>
    <mergeCell ref="A6:A9"/>
    <mergeCell ref="A127:A131"/>
    <mergeCell ref="B194:B196"/>
    <mergeCell ref="B10:B13"/>
    <mergeCell ref="A101:A104"/>
    <mergeCell ref="B153:B157"/>
    <mergeCell ref="B147:B152"/>
    <mergeCell ref="A95:A100"/>
    <mergeCell ref="B90:B94"/>
    <mergeCell ref="A14:A17"/>
    <mergeCell ref="B18:B22"/>
    <mergeCell ref="B58:B62"/>
    <mergeCell ref="B179:B183"/>
    <mergeCell ref="A113:A115"/>
    <mergeCell ref="A80:A84"/>
    <mergeCell ref="B53:B57"/>
    <mergeCell ref="A184:A188"/>
    <mergeCell ref="A63:A67"/>
    <mergeCell ref="B14:B17"/>
    <mergeCell ref="B167:B170"/>
    <mergeCell ref="A209:A213"/>
    <mergeCell ref="A214:A217"/>
    <mergeCell ref="B80:B84"/>
    <mergeCell ref="B23:B28"/>
    <mergeCell ref="B122:B126"/>
    <mergeCell ref="B184:B188"/>
    <mergeCell ref="A47:A52"/>
    <mergeCell ref="B201:B204"/>
    <mergeCell ref="A109:A112"/>
    <mergeCell ref="B197:B200"/>
    <mergeCell ref="A167:A170"/>
    <mergeCell ref="A174:A178"/>
    <mergeCell ref="A75:A79"/>
    <mergeCell ref="B41:B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style="38" min="1" max="1"/>
    <col width="28" customWidth="1" style="38" min="2" max="2"/>
    <col width="35" customWidth="1" style="38" min="3" max="3"/>
    <col width="12" customWidth="1" style="38" min="4" max="4"/>
    <col width="14" customWidth="1" style="38" min="5" max="5"/>
    <col width="12" customWidth="1" style="38" min="6" max="6"/>
    <col width="28" customWidth="1" style="38" min="7" max="7"/>
    <col width="28" customWidth="1" style="38" min="8" max="8"/>
    <col width="22" customWidth="1" style="38" min="9" max="9"/>
    <col width="28" customWidth="1" style="38" min="10" max="10"/>
    <col width="50" customWidth="1" style="38" min="11" max="11"/>
    <col width="25" customWidth="1" style="38" min="12" max="12"/>
    <col width="30" customWidth="1" style="38" min="13" max="13"/>
  </cols>
  <sheetData>
    <row r="1" ht="32" customHeight="1" s="38">
      <c r="A1" s="102" t="inlineStr">
        <is>
          <t>PARAMÈTRES CLIMATIQUES DES MALADIES — Base de connaissances pour alertes météo</t>
        </is>
      </c>
    </row>
    <row r="2" ht="32" customHeight="1" s="38">
      <c r="A2" s="103" t="inlineStr">
        <is>
          <t>Base documentée pour intégration future à un système d'alerte météo basé sur API (Open-Meteo, Météo France). Sources croisées : scientifiques (INRAE Ephytia, ARVALIS) et opérationnelles (ITAB, GRAB, MAB16, GECO Ecophytopic).</t>
        </is>
      </c>
    </row>
    <row r="3" ht="8" customHeight="1" s="38"/>
    <row r="4" ht="42" customHeight="1" s="38">
      <c r="A4" s="104" t="inlineStr">
        <is>
          <t>Maladie</t>
        </is>
      </c>
      <c r="B4" s="104" t="inlineStr">
        <is>
          <t>Pathogène</t>
        </is>
      </c>
      <c r="C4" s="104" t="inlineStr">
        <is>
          <t>Cultures affectées</t>
        </is>
      </c>
      <c r="D4" s="104" t="inlineStr">
        <is>
          <t>T° min (°C)</t>
        </is>
      </c>
      <c r="E4" s="104" t="inlineStr">
        <is>
          <t>T° optimale (°C)</t>
        </is>
      </c>
      <c r="F4" s="104" t="inlineStr">
        <is>
          <t>T° max (°C)</t>
        </is>
      </c>
      <c r="G4" s="104" t="inlineStr">
        <is>
          <t>Humidité critique</t>
        </is>
      </c>
      <c r="H4" s="104" t="inlineStr">
        <is>
          <t>Eau libre nécessaire</t>
        </is>
      </c>
      <c r="I4" s="104" t="inlineStr">
        <is>
          <t>Durée incubation</t>
        </is>
      </c>
      <c r="J4" s="104" t="inlineStr">
        <is>
          <t>Période de risque</t>
        </is>
      </c>
      <c r="K4" s="104" t="inlineStr">
        <is>
          <t>Conditions d'alerte</t>
        </is>
      </c>
      <c r="L4" s="104" t="inlineStr">
        <is>
          <t>Modèle prédictif</t>
        </is>
      </c>
      <c r="M4" s="104" t="inlineStr">
        <is>
          <t>Sources</t>
        </is>
      </c>
    </row>
    <row r="5" ht="28" customHeight="1" s="38">
      <c r="A5" s="113" t="inlineStr">
        <is>
          <t>── Vague 1 — Maladies critiques (mildious, botrytis, sclerotinia, oïdiums)</t>
        </is>
      </c>
    </row>
    <row r="6" ht="75" customHeight="1" s="38">
      <c r="A6" s="105" t="inlineStr">
        <is>
          <t>Mildiou tomate / pomme de terre</t>
        </is>
      </c>
      <c r="B6" s="106" t="inlineStr">
        <is>
          <t>Phytophthora infestans</t>
        </is>
      </c>
      <c r="C6" s="107" t="inlineStr">
        <is>
          <t>Tomate, Aubergine (rare), Poivron (rare)</t>
        </is>
      </c>
      <c r="D6" s="108" t="n">
        <v>10</v>
      </c>
      <c r="E6" s="108" t="inlineStr">
        <is>
          <t>17–20</t>
        </is>
      </c>
      <c r="F6" s="108" t="n">
        <v>25</v>
      </c>
      <c r="G6" s="109" t="inlineStr">
        <is>
          <t>&gt; 90 % pendant &gt; 12h</t>
        </is>
      </c>
      <c r="H6" s="109" t="inlineStr">
        <is>
          <t>OUI – film d'eau sur feuille pendant 2h minimum</t>
        </is>
      </c>
      <c r="I6" s="66" t="inlineStr">
        <is>
          <t>4 à 7 jours (cycle 4–6 j à 15 °C)</t>
        </is>
      </c>
      <c r="J6" s="66" t="inlineStr">
        <is>
          <t>Mai à septembre (recrudescence depuis années 1990)</t>
        </is>
      </c>
      <c r="K6" s="110" t="inlineStr">
        <is>
          <t>T° 17–20 °C + HR &gt; 90 % &gt; 12h + feuilles humides 2h+ → traiter cuivre 48h</t>
        </is>
      </c>
      <c r="L6" s="111" t="inlineStr">
        <is>
          <t>Mileos® (INRAE/ARVALIS), Ephytia VigiMildiou</t>
        </is>
      </c>
      <c r="M6" s="112" t="inlineStr">
        <is>
          <t>INRAE Ephytia ; Bayer-agri ; ARVALIS Mileos ; MAB16 2024</t>
        </is>
      </c>
    </row>
    <row r="7" ht="75" customHeight="1" s="38">
      <c r="A7" s="105" t="inlineStr">
        <is>
          <t>Mildiou salade</t>
        </is>
      </c>
      <c r="B7" s="106" t="inlineStr">
        <is>
          <t>Bremia lactucae</t>
        </is>
      </c>
      <c r="C7" s="107" t="inlineStr">
        <is>
          <t>Laitue, Batavia, Feuille de chêne, Mâche</t>
        </is>
      </c>
      <c r="D7" s="108" t="n">
        <v>5</v>
      </c>
      <c r="E7" s="108" t="n">
        <v>15</v>
      </c>
      <c r="F7" s="108" t="n">
        <v>24</v>
      </c>
      <c r="G7" s="109" t="inlineStr">
        <is>
          <t>&gt; 80 % prolongée ; rosée, brouillard, pluie</t>
        </is>
      </c>
      <c r="H7" s="109" t="inlineStr">
        <is>
          <t>OUI – obligatoire pour germination des sporanges</t>
        </is>
      </c>
      <c r="I7" s="66" t="inlineStr">
        <is>
          <t>Cycle complet &lt; 5 jours (rapide)</t>
        </is>
      </c>
      <c r="J7" s="66" t="inlineStr">
        <is>
          <t>Toute l'année sous abri ; printemps/automne plein champ</t>
        </is>
      </c>
      <c r="K7" s="110" t="inlineStr">
        <is>
          <t>T° 13–20 °C jour / 5–10 °C nuit + HR élevée + eau libre → variétés résistantes Bremia + cuivre</t>
        </is>
      </c>
      <c r="L7" s="111" t="inlineStr">
        <is>
          <t>GECO Ecophytopic – Fiche 1 laitue</t>
        </is>
      </c>
      <c r="M7" s="112" t="inlineStr">
        <is>
          <t>INRAE Ephytia ; Bayer-agri ; Syngenta ; IRIIS ; GRAB ; GECO</t>
        </is>
      </c>
    </row>
    <row r="8" ht="75" customHeight="1" s="38">
      <c r="A8" s="105" t="inlineStr">
        <is>
          <t>Mildiou cucurbitacées</t>
        </is>
      </c>
      <c r="B8" s="106" t="inlineStr">
        <is>
          <t>Pseudoperonospora cubensis</t>
        </is>
      </c>
      <c r="C8" s="107" t="inlineStr">
        <is>
          <t>Concombre, Courgette, Melon, Pastèque, Courge, Potiron, Potimarron</t>
        </is>
      </c>
      <c r="D8" s="108" t="n">
        <v>10</v>
      </c>
      <c r="E8" s="108" t="inlineStr">
        <is>
          <t>20–25</t>
        </is>
      </c>
      <c r="F8" s="108" t="n">
        <v>30</v>
      </c>
      <c r="G8" s="109" t="inlineStr">
        <is>
          <t>&gt; 85 % nocturne ; rosée matinale</t>
        </is>
      </c>
      <c r="H8" s="109" t="inlineStr">
        <is>
          <t>OUI – plusieurs heures pour infection</t>
        </is>
      </c>
      <c r="I8" s="66" t="inlineStr">
        <is>
          <t>3 à 12 jours selon T°</t>
        </is>
      </c>
      <c r="J8" s="66" t="inlineStr">
        <is>
          <t>Été (juillet–septembre)</t>
        </is>
      </c>
      <c r="K8" s="110" t="inlineStr">
        <is>
          <t>T° 10–25 °C + HR &gt; 85 % nuit + rosée → cuivre préventif dès apparition rosée matinale</t>
        </is>
      </c>
      <c r="L8" s="111" t="inlineStr">
        <is>
          <t>—</t>
        </is>
      </c>
      <c r="M8" s="112" t="inlineStr">
        <is>
          <t>INRAE Ephytia ; MAB16 2024</t>
        </is>
      </c>
    </row>
    <row r="9" ht="75" customHeight="1" s="38">
      <c r="A9" s="105" t="inlineStr">
        <is>
          <t>Mildiou oignon / poireau</t>
        </is>
      </c>
      <c r="B9" s="106" t="inlineStr">
        <is>
          <t>Peronospora destructor</t>
        </is>
      </c>
      <c r="C9" s="107" t="inlineStr">
        <is>
          <t>Oignon, Échalote, Ciboule, Poireau (rare)</t>
        </is>
      </c>
      <c r="D9" s="108" t="n">
        <v>4</v>
      </c>
      <c r="E9" s="108" t="inlineStr">
        <is>
          <t>10–18</t>
        </is>
      </c>
      <c r="F9" s="108" t="n">
        <v>25</v>
      </c>
      <c r="G9" s="109" t="inlineStr">
        <is>
          <t>&gt; 95 % pendant 6–11h</t>
        </is>
      </c>
      <c r="H9" s="109" t="inlineStr">
        <is>
          <t>OUI – rosée nocturne suffit</t>
        </is>
      </c>
      <c r="I9" s="66" t="inlineStr">
        <is>
          <t>11 à 15 jours</t>
        </is>
      </c>
      <c r="J9" s="66" t="inlineStr">
        <is>
          <t>Printemps frais et humide ; automne</t>
        </is>
      </c>
      <c r="K9" s="110" t="inlineStr">
        <is>
          <t>Alternance jours frais (10–18 °C) + nuits humides (HR &gt; 95 %) sur 2–3 j → cuivre</t>
        </is>
      </c>
      <c r="L9" s="111" t="inlineStr">
        <is>
          <t>—</t>
        </is>
      </c>
      <c r="M9" s="112" t="inlineStr">
        <is>
          <t>INRAE Ephytia ; MAB16 2024</t>
        </is>
      </c>
    </row>
    <row r="10" ht="75" customHeight="1" s="38">
      <c r="A10" s="105" t="inlineStr">
        <is>
          <t>Mildiou épinard</t>
        </is>
      </c>
      <c r="B10" s="106" t="inlineStr">
        <is>
          <t>Peronospora farinosa</t>
        </is>
      </c>
      <c r="C10" s="107" t="inlineStr">
        <is>
          <t>Épinard, Blette (rare)</t>
        </is>
      </c>
      <c r="D10" s="108" t="n">
        <v>5</v>
      </c>
      <c r="E10" s="108" t="inlineStr">
        <is>
          <t>10–18</t>
        </is>
      </c>
      <c r="F10" s="108" t="n">
        <v>22</v>
      </c>
      <c r="G10" s="109" t="inlineStr">
        <is>
          <t>&gt; 85 % prolongée</t>
        </is>
      </c>
      <c r="H10" s="109" t="inlineStr">
        <is>
          <t>Recommandée (rosée)</t>
        </is>
      </c>
      <c r="I10" s="66" t="inlineStr">
        <is>
          <t>5 à 10 jours</t>
        </is>
      </c>
      <c r="J10" s="66" t="inlineStr">
        <is>
          <t>Automne et printemps</t>
        </is>
      </c>
      <c r="K10" s="110" t="inlineStr">
        <is>
          <t>T° fraîche (10–18 °C) + HR &gt; 85 % &gt; 8h → variétés résistantes + cuivre</t>
        </is>
      </c>
      <c r="L10" s="111" t="inlineStr">
        <is>
          <t>—</t>
        </is>
      </c>
      <c r="M10" s="112" t="inlineStr">
        <is>
          <t>INRAE Ephytia</t>
        </is>
      </c>
    </row>
    <row r="11" ht="75" customHeight="1" s="38">
      <c r="A11" s="105" t="inlineStr">
        <is>
          <t>Pourriture grise (Botrytis)</t>
        </is>
      </c>
      <c r="B11" s="106" t="inlineStr">
        <is>
          <t>Botrytis cinerea</t>
        </is>
      </c>
      <c r="C11" s="107" t="inlineStr">
        <is>
          <t>Tomate, Laitue, Fraisier, Haricot, Aubergine, Concombre, Courgette</t>
        </is>
      </c>
      <c r="D11" s="108" t="n">
        <v>2</v>
      </c>
      <c r="E11" s="108" t="inlineStr">
        <is>
          <t>15–20</t>
        </is>
      </c>
      <c r="F11" s="108" t="n">
        <v>25</v>
      </c>
      <c r="G11" s="109" t="inlineStr">
        <is>
          <t>&gt; 90 % prolongée</t>
        </is>
      </c>
      <c r="H11" s="109" t="inlineStr">
        <is>
          <t>OUI – feuillage humide &gt; 6h</t>
        </is>
      </c>
      <c r="I11" s="66" t="inlineStr">
        <is>
          <t>3 à 7 jours</t>
        </is>
      </c>
      <c r="J11" s="66" t="inlineStr">
        <is>
          <t>Printemps frais humide ; automne ; sous abri en permanence</t>
        </is>
      </c>
      <c r="K11" s="110" t="inlineStr">
        <is>
          <t>T° fraîche 15–20 °C + HR &gt; 90 % nuit + condensation matinale → aération impérative + retirer débris</t>
        </is>
      </c>
      <c r="L11" s="111" t="inlineStr">
        <is>
          <t>—</t>
        </is>
      </c>
      <c r="M11" s="112" t="inlineStr">
        <is>
          <t>INRAE Ephytia ; MAB16 2024</t>
        </is>
      </c>
    </row>
    <row r="12" ht="75" customHeight="1" s="38">
      <c r="A12" s="105" t="inlineStr">
        <is>
          <t>Sclerotinia (pourriture blanche)</t>
        </is>
      </c>
      <c r="B12" s="106" t="inlineStr">
        <is>
          <t>Sclerotinia sclerotiorum / S. minor</t>
        </is>
      </c>
      <c r="C12" s="107" t="inlineStr">
        <is>
          <t>Laitue, Carotte, Haricot, Chou, Tomate, Céleri, Fenouil, Chicorée</t>
        </is>
      </c>
      <c r="D12" s="108" t="n">
        <v>10</v>
      </c>
      <c r="E12" s="108" t="inlineStr">
        <is>
          <t>18–22</t>
        </is>
      </c>
      <c r="F12" s="108" t="n">
        <v>28</v>
      </c>
      <c r="G12" s="109" t="inlineStr">
        <is>
          <t>Sol humide (capacité au champ)</t>
        </is>
      </c>
      <c r="H12" s="109" t="inlineStr">
        <is>
          <t>OUI au sol – eau stagnante favorable</t>
        </is>
      </c>
      <c r="I12" s="66" t="inlineStr">
        <is>
          <t>7 à 14 jours après germination des sclérotes</t>
        </is>
      </c>
      <c r="J12" s="66" t="inlineStr">
        <is>
          <t>Printemps doux à été frais ; sous abri toute l'année</t>
        </is>
      </c>
      <c r="K12" s="110" t="inlineStr">
        <is>
          <t>T° 18–22 °C + sol gorgé d'eau &gt; 5j → drainage, paillage, CONTANS WG (Coniothyrium minitans)</t>
        </is>
      </c>
      <c r="L12" s="111" t="inlineStr">
        <is>
          <t>—</t>
        </is>
      </c>
      <c r="M12" s="112" t="inlineStr">
        <is>
          <t>INRAE Ephytia ; ITAB ; MAB16 2024</t>
        </is>
      </c>
    </row>
    <row r="13" ht="75" customHeight="1" s="38">
      <c r="A13" s="105" t="inlineStr">
        <is>
          <t>Oïdium des cucurbitacées</t>
        </is>
      </c>
      <c r="B13" s="106" t="inlineStr">
        <is>
          <t>Podosphaera xanthii / Erysiphe cichoracearum</t>
        </is>
      </c>
      <c r="C13" s="107" t="inlineStr">
        <is>
          <t>Courgette, Concombre, Melon, Courge, Potiron, Potimarron, Pastèque</t>
        </is>
      </c>
      <c r="D13" s="108" t="n">
        <v>12</v>
      </c>
      <c r="E13" s="108" t="inlineStr">
        <is>
          <t>20–24</t>
        </is>
      </c>
      <c r="F13" s="108" t="n">
        <v>30</v>
      </c>
      <c r="G13" s="109" t="inlineStr">
        <is>
          <t>50–75 % (atypique : aime sec)</t>
        </is>
      </c>
      <c r="H13" s="109" t="inlineStr">
        <is>
          <t>NON – l'eau libre INHIBE la germination</t>
        </is>
      </c>
      <c r="I13" s="66" t="inlineStr">
        <is>
          <t>3 à 7 jours (très rapide)</t>
        </is>
      </c>
      <c r="J13" s="66" t="inlineStr">
        <is>
          <t>Été chaud et sec ; alternance jours chauds/nuits fraîches</t>
        </is>
      </c>
      <c r="K13" s="110" t="inlineStr">
        <is>
          <t>T° 20–24 °C + alternance HR jour basse / HR nuit haute + stress hydrique → soufre mouillable préventif</t>
        </is>
      </c>
      <c r="L13" s="111" t="inlineStr">
        <is>
          <t>—</t>
        </is>
      </c>
      <c r="M13" s="112" t="inlineStr">
        <is>
          <t>INRAE Ephytia ; MAB16 2024</t>
        </is>
      </c>
    </row>
    <row r="14" ht="75" customHeight="1" s="38">
      <c r="A14" s="105" t="inlineStr">
        <is>
          <t>Oïdium tomate</t>
        </is>
      </c>
      <c r="B14" s="106" t="inlineStr">
        <is>
          <t>Leveillula taurica / Oidium neolycopersici</t>
        </is>
      </c>
      <c r="C14" s="107" t="inlineStr">
        <is>
          <t>Tomate, Aubergine, Poivron</t>
        </is>
      </c>
      <c r="D14" s="108" t="n">
        <v>15</v>
      </c>
      <c r="E14" s="108" t="inlineStr">
        <is>
          <t>20–26</t>
        </is>
      </c>
      <c r="F14" s="108" t="n">
        <v>30</v>
      </c>
      <c r="G14" s="109" t="inlineStr">
        <is>
          <t>70–85 %</t>
        </is>
      </c>
      <c r="H14" s="109" t="inlineStr">
        <is>
          <t>NON</t>
        </is>
      </c>
      <c r="I14" s="66" t="inlineStr">
        <is>
          <t>5 à 10 jours</t>
        </is>
      </c>
      <c r="J14" s="66" t="inlineStr">
        <is>
          <t>Été ; sous abri printemps-été</t>
        </is>
      </c>
      <c r="K14" s="110" t="inlineStr">
        <is>
          <t>T° 20–26 °C + HR moyenne + stress (manque eau) → soufre micronisé</t>
        </is>
      </c>
      <c r="L14" s="111" t="inlineStr">
        <is>
          <t>—</t>
        </is>
      </c>
      <c r="M14" s="112" t="inlineStr">
        <is>
          <t>INRAE Ephytia</t>
        </is>
      </c>
    </row>
    <row r="15" ht="28" customHeight="1" s="38">
      <c r="A15" s="113" t="inlineStr">
        <is>
          <t>── Vague 2 — Maladies fréquentes (alternarioses, cercosporiose, septoriose, anthracnose, rouilles, cladosporiose)</t>
        </is>
      </c>
    </row>
    <row r="16" ht="75" customHeight="1" s="38">
      <c r="A16" s="105" t="inlineStr">
        <is>
          <t>Alternariose tomate / pomme de terre</t>
        </is>
      </c>
      <c r="B16" s="106" t="inlineStr">
        <is>
          <t>Alternaria solani / A. tomatophila</t>
        </is>
      </c>
      <c r="C16" s="107" t="inlineStr">
        <is>
          <t>Tomate, Aubergine, Poivron, Piment</t>
        </is>
      </c>
      <c r="D16" s="108" t="n">
        <v>3</v>
      </c>
      <c r="E16" s="108" t="inlineStr">
        <is>
          <t>20–30</t>
        </is>
      </c>
      <c r="F16" s="108" t="n">
        <v>35</v>
      </c>
      <c r="G16" s="109" t="inlineStr">
        <is>
          <t>&gt; 70 % avec alternance sec/humide</t>
        </is>
      </c>
      <c r="H16" s="109" t="inlineStr">
        <is>
          <t>OUI – 2 à 12h selon T° (3h à 20–30°C, 12h à 10°C)</t>
        </is>
      </c>
      <c r="I16" s="66" t="inlineStr">
        <is>
          <t>5 à 7 jours</t>
        </is>
      </c>
      <c r="J16" s="66" t="inlineStr">
        <is>
          <t>Printemps doux pluvieux ; été (rosées matinales + orages)</t>
        </is>
      </c>
      <c r="K16" s="110" t="inlineStr">
        <is>
          <t>T° 20–30 °C + HR &gt; 70 % + rosée matinale OU stress hydrique → cuivre préventif, éliminer feuilles basses</t>
        </is>
      </c>
      <c r="L16" s="111" t="inlineStr">
        <is>
          <t>—</t>
        </is>
      </c>
      <c r="M16" s="112" t="inlineStr">
        <is>
          <t>INRAE Ephytia ; Syngenta ; APPI ; Profert</t>
        </is>
      </c>
    </row>
    <row r="17" ht="75" customHeight="1" s="38">
      <c r="A17" s="105" t="inlineStr">
        <is>
          <t>Alternariose carotte / panais</t>
        </is>
      </c>
      <c r="B17" s="106" t="inlineStr">
        <is>
          <t>Alternaria dauci</t>
        </is>
      </c>
      <c r="C17" s="107" t="inlineStr">
        <is>
          <t>Carotte, Panais, Fenouil, Céleri</t>
        </is>
      </c>
      <c r="D17" s="108" t="n">
        <v>6</v>
      </c>
      <c r="E17" s="108" t="inlineStr">
        <is>
          <t>20–28</t>
        </is>
      </c>
      <c r="F17" s="108" t="n">
        <v>32</v>
      </c>
      <c r="G17" s="109" t="inlineStr">
        <is>
          <t>&gt; 90 % nocturne ; rosée prolongée</t>
        </is>
      </c>
      <c r="H17" s="109" t="inlineStr">
        <is>
          <t>OUI – feuillage humide &gt; 8h</t>
        </is>
      </c>
      <c r="I17" s="66" t="inlineStr">
        <is>
          <t>8 à 16 jours (progressive)</t>
        </is>
      </c>
      <c r="J17" s="66" t="inlineStr">
        <is>
          <t>Fin d'été, automne (cultures âgées sensibles)</t>
        </is>
      </c>
      <c r="K17" s="110" t="inlineStr">
        <is>
          <t>T° 20–28 °C + rosée nocturne &gt; 8h + plantes âgées/stressées → cuivre, éviter aspersion fin de culture</t>
        </is>
      </c>
      <c r="L17" s="111" t="inlineStr">
        <is>
          <t>—</t>
        </is>
      </c>
      <c r="M17" s="112" t="inlineStr">
        <is>
          <t>INRAE Ephytia ; ITAB ; FREDON</t>
        </is>
      </c>
    </row>
    <row r="18" ht="75" customHeight="1" s="38">
      <c r="A18" s="105" t="inlineStr">
        <is>
          <t>Alternariose brassicacées</t>
        </is>
      </c>
      <c r="B18" s="106" t="inlineStr">
        <is>
          <t>Alternaria brassicicola / A. brassicae</t>
        </is>
      </c>
      <c r="C18" s="107" t="inlineStr">
        <is>
          <t>Choux (tous), Navet, Radis, Roquette, Pak choï, Bok choï</t>
        </is>
      </c>
      <c r="D18" s="108" t="n">
        <v>5</v>
      </c>
      <c r="E18" s="108" t="inlineStr">
        <is>
          <t>20–25</t>
        </is>
      </c>
      <c r="F18" s="108" t="n">
        <v>30</v>
      </c>
      <c r="G18" s="109" t="inlineStr">
        <is>
          <t>&gt; 90 % pendant &gt; 8h</t>
        </is>
      </c>
      <c r="H18" s="109" t="inlineStr">
        <is>
          <t>OUI – pluie ou rosée prolongée</t>
        </is>
      </c>
      <c r="I18" s="66" t="inlineStr">
        <is>
          <t>5 à 14 jours</t>
        </is>
      </c>
      <c r="J18" s="66" t="inlineStr">
        <is>
          <t>Été et automne (cultures matures)</t>
        </is>
      </c>
      <c r="K18" s="110" t="inlineStr">
        <is>
          <t>T° 20–25 °C + HR &gt; 90 % &gt; 8h + semences douteuses → semences traitées vinaigre, cuivre</t>
        </is>
      </c>
      <c r="L18" s="111" t="inlineStr">
        <is>
          <t>—</t>
        </is>
      </c>
      <c r="M18" s="112" t="inlineStr">
        <is>
          <t>INRAE Ephytia ; ITAB</t>
        </is>
      </c>
    </row>
    <row r="19" ht="75" customHeight="1" s="38">
      <c r="A19" s="105" t="inlineStr">
        <is>
          <t>Cercosporiose betterave</t>
        </is>
      </c>
      <c r="B19" s="106" t="inlineStr">
        <is>
          <t>Cercospora beticola</t>
        </is>
      </c>
      <c r="C19" s="107" t="inlineStr">
        <is>
          <t>Betterave, Blette, Épinard (rare)</t>
        </is>
      </c>
      <c r="D19" s="108" t="n">
        <v>12</v>
      </c>
      <c r="E19" s="108" t="inlineStr">
        <is>
          <t>25–30</t>
        </is>
      </c>
      <c r="F19" s="108" t="n">
        <v>35</v>
      </c>
      <c r="G19" s="109" t="inlineStr">
        <is>
          <t>&gt; 90 % pendant &gt; 10h consécutives</t>
        </is>
      </c>
      <c r="H19" s="109" t="inlineStr">
        <is>
          <t>OUI – feuillage humide &gt; 12h pour infection</t>
        </is>
      </c>
      <c r="I19" s="66" t="inlineStr">
        <is>
          <t>7 à 14 jours</t>
        </is>
      </c>
      <c r="J19" s="66" t="inlineStr">
        <is>
          <t>Juillet à septembre (chaleurs + orages)</t>
        </is>
      </c>
      <c r="K19" s="110" t="inlineStr">
        <is>
          <t>T° 25–30 °C jour + HR &gt; 90 % nuit + orages → cuivre préventif dès apparition 1ères taches</t>
        </is>
      </c>
      <c r="L19" s="111" t="inlineStr">
        <is>
          <t>CR-IPM (modèle ARVALIS/ITB)</t>
        </is>
      </c>
      <c r="M19" s="112" t="inlineStr">
        <is>
          <t>INRAE Ephytia ; ITB ; ARVALIS</t>
        </is>
      </c>
    </row>
    <row r="20" ht="75" customHeight="1" s="38">
      <c r="A20" s="105" t="inlineStr">
        <is>
          <t>Septoriose céleri</t>
        </is>
      </c>
      <c r="B20" s="106" t="inlineStr">
        <is>
          <t>Septoria apiicola</t>
        </is>
      </c>
      <c r="C20" s="107" t="inlineStr">
        <is>
          <t>Céleri branche, Céleri-rave</t>
        </is>
      </c>
      <c r="D20" s="108" t="n">
        <v>5</v>
      </c>
      <c r="E20" s="108" t="inlineStr">
        <is>
          <t>20–25</t>
        </is>
      </c>
      <c r="F20" s="108" t="n">
        <v>28</v>
      </c>
      <c r="G20" s="109" t="inlineStr">
        <is>
          <t>&gt; 95 % pendant &gt; 12h</t>
        </is>
      </c>
      <c r="H20" s="109" t="inlineStr">
        <is>
          <t>OUI – plusieurs heures consécutives</t>
        </is>
      </c>
      <c r="I20" s="66" t="inlineStr">
        <is>
          <t>12 à 14 jours</t>
        </is>
      </c>
      <c r="J20" s="66" t="inlineStr">
        <is>
          <t>Fin d'été et automne (orages chauds + humidité)</t>
        </is>
      </c>
      <c r="K20" s="110" t="inlineStr">
        <is>
          <t>Orages d'été/automne + T° 20–25 °C + HR saturante → cuivre préventif AVANT orage, éviter aspersion</t>
        </is>
      </c>
      <c r="L20" s="111" t="inlineStr">
        <is>
          <t>—</t>
        </is>
      </c>
      <c r="M20" s="112" t="inlineStr">
        <is>
          <t>INRAE Ephytia ; ITAB ; MAB16</t>
        </is>
      </c>
    </row>
    <row r="21" ht="75" customHeight="1" s="38">
      <c r="A21" s="105" t="inlineStr">
        <is>
          <t>Septoriose tomate</t>
        </is>
      </c>
      <c r="B21" s="106" t="inlineStr">
        <is>
          <t>Septoria lycopersici</t>
        </is>
      </c>
      <c r="C21" s="107" t="inlineStr">
        <is>
          <t>Tomate (plein champ surtout)</t>
        </is>
      </c>
      <c r="D21" s="108" t="n">
        <v>15</v>
      </c>
      <c r="E21" s="108" t="inlineStr">
        <is>
          <t>20–25</t>
        </is>
      </c>
      <c r="F21" s="108" t="n">
        <v>28</v>
      </c>
      <c r="G21" s="109" t="inlineStr">
        <is>
          <t>&gt; 90 % prolongée</t>
        </is>
      </c>
      <c r="H21" s="109" t="inlineStr">
        <is>
          <t>OUI – 48h après pluie idéal</t>
        </is>
      </c>
      <c r="I21" s="66" t="inlineStr">
        <is>
          <t>5 à 14 jours</t>
        </is>
      </c>
      <c r="J21" s="66" t="inlineStr">
        <is>
          <t>Été humide, fin d'été</t>
        </is>
      </c>
      <c r="K21" s="110" t="inlineStr">
        <is>
          <t>T° 20–25 °C + pluies répétées + feuillage humide &gt; 48h → cuivre, mulch au sol</t>
        </is>
      </c>
      <c r="L21" s="111" t="inlineStr">
        <is>
          <t>—</t>
        </is>
      </c>
      <c r="M21" s="112" t="inlineStr">
        <is>
          <t>INRAE Ephytia ; ITAB</t>
        </is>
      </c>
    </row>
    <row r="22" ht="75" customHeight="1" s="38">
      <c r="A22" s="105" t="inlineStr">
        <is>
          <t>Anthracnose haricot</t>
        </is>
      </c>
      <c r="B22" s="106" t="inlineStr">
        <is>
          <t>Colletotrichum lindemuthianum</t>
        </is>
      </c>
      <c r="C22" s="107" t="inlineStr">
        <is>
          <t>Haricot nain, Haricot à rame</t>
        </is>
      </c>
      <c r="D22" s="108" t="n">
        <v>13</v>
      </c>
      <c r="E22" s="108" t="inlineStr">
        <is>
          <t>17–22</t>
        </is>
      </c>
      <c r="F22" s="108" t="n">
        <v>27</v>
      </c>
      <c r="G22" s="109" t="inlineStr">
        <is>
          <t>&gt; 92 % pendant &gt; 12h</t>
        </is>
      </c>
      <c r="H22" s="109" t="inlineStr">
        <is>
          <t>OUI – essentielle, transmission par éclaboussures</t>
        </is>
      </c>
      <c r="I22" s="66" t="inlineStr">
        <is>
          <t>4 à 9 jours</t>
        </is>
      </c>
      <c r="J22" s="66" t="inlineStr">
        <is>
          <t>Printemps doux humide ; été pluvieux</t>
        </is>
      </c>
      <c r="K22" s="110" t="inlineStr">
        <is>
          <t>T° 17–22 °C + pluies + arrosage aspersion → INTERDIRE aspersion, semences certifiées, cuivre</t>
        </is>
      </c>
      <c r="L22" s="111" t="inlineStr">
        <is>
          <t>—</t>
        </is>
      </c>
      <c r="M22" s="112" t="inlineStr">
        <is>
          <t>INRAE Ephytia ; ITAB ; MAB16</t>
        </is>
      </c>
    </row>
    <row r="23" ht="75" customHeight="1" s="38">
      <c r="A23" s="105" t="inlineStr">
        <is>
          <t>Anthracnose cucurbitacées</t>
        </is>
      </c>
      <c r="B23" s="106" t="inlineStr">
        <is>
          <t>Colletotrichum orbiculare / C. lagenarium</t>
        </is>
      </c>
      <c r="C23" s="107" t="inlineStr">
        <is>
          <t>Concombre, Melon, Pastèque, Courge, Potiron, Courgette</t>
        </is>
      </c>
      <c r="D23" s="108" t="n">
        <v>4</v>
      </c>
      <c r="E23" s="108" t="inlineStr">
        <is>
          <t>22–27</t>
        </is>
      </c>
      <c r="F23" s="108" t="n">
        <v>30</v>
      </c>
      <c r="G23" s="109" t="inlineStr">
        <is>
          <t>&gt; 85 % avec pluies répétées</t>
        </is>
      </c>
      <c r="H23" s="109" t="inlineStr">
        <is>
          <t>OUI – 5h à 22°C suffisent</t>
        </is>
      </c>
      <c r="I23" s="66" t="inlineStr">
        <is>
          <t>4 à 12 jours</t>
        </is>
      </c>
      <c r="J23" s="66" t="inlineStr">
        <is>
          <t>Été chaud et humide (juillet–août)</t>
        </is>
      </c>
      <c r="K23" s="110" t="inlineStr">
        <is>
          <t>T° 22–27 °C + pluies orageuses + arrosage aspersion → goutte-à-goutte impératif, cuivre</t>
        </is>
      </c>
      <c r="L23" s="111" t="inlineStr">
        <is>
          <t>—</t>
        </is>
      </c>
      <c r="M23" s="112" t="inlineStr">
        <is>
          <t>INRAE Ephytia ; ITAB</t>
        </is>
      </c>
    </row>
    <row r="24" ht="75" customHeight="1" s="38">
      <c r="A24" s="105" t="inlineStr">
        <is>
          <t>Ascochytose pois chiche</t>
        </is>
      </c>
      <c r="B24" s="106" t="inlineStr">
        <is>
          <t>Ascochyta rabiei</t>
        </is>
      </c>
      <c r="C24" s="107" t="inlineStr">
        <is>
          <t>Pois chiche</t>
        </is>
      </c>
      <c r="D24" s="108" t="n">
        <v>5</v>
      </c>
      <c r="E24" s="108" t="inlineStr">
        <is>
          <t>15–25</t>
        </is>
      </c>
      <c r="F24" s="108" t="n">
        <v>30</v>
      </c>
      <c r="G24" s="109" t="inlineStr">
        <is>
          <t>&gt; 90 % avec pluies répétées</t>
        </is>
      </c>
      <c r="H24" s="109" t="inlineStr">
        <is>
          <t>OUI – très virulente</t>
        </is>
      </c>
      <c r="I24" s="66" t="inlineStr">
        <is>
          <t>5 à 7 jours</t>
        </is>
      </c>
      <c r="J24" s="66" t="inlineStr">
        <is>
          <t>Printemps pluvieux à été</t>
        </is>
      </c>
      <c r="K24" s="110" t="inlineStr">
        <is>
          <t>T° 15–25 °C + pluies répétées sur 5j → cuivre, rotation 5+ ans (très persistant)</t>
        </is>
      </c>
      <c r="L24" s="111" t="inlineStr">
        <is>
          <t>—</t>
        </is>
      </c>
      <c r="M24" s="112" t="inlineStr">
        <is>
          <t>INRAE ; ITAB Grandes cultures</t>
        </is>
      </c>
    </row>
    <row r="25" ht="75" customHeight="1" s="38">
      <c r="A25" s="105" t="inlineStr">
        <is>
          <t>Rouille du poireau</t>
        </is>
      </c>
      <c r="B25" s="106" t="inlineStr">
        <is>
          <t>Puccinia allii / P. porri</t>
        </is>
      </c>
      <c r="C25" s="107" t="inlineStr">
        <is>
          <t>Poireau, Ail, Oignon (moindre), Ciboule</t>
        </is>
      </c>
      <c r="D25" s="108" t="n">
        <v>5</v>
      </c>
      <c r="E25" s="108" t="inlineStr">
        <is>
          <t>10–18</t>
        </is>
      </c>
      <c r="F25" s="108" t="n">
        <v>25</v>
      </c>
      <c r="G25" s="109" t="inlineStr">
        <is>
          <t>&gt; 95 % nuit ; rosée 4–8h</t>
        </is>
      </c>
      <c r="H25" s="109" t="inlineStr">
        <is>
          <t>OUI – rosée nocturne suffit</t>
        </is>
      </c>
      <c r="I25" s="66" t="inlineStr">
        <is>
          <t>7 à 15 jours</t>
        </is>
      </c>
      <c r="J25" s="66" t="inlineStr">
        <is>
          <t>Automne doux et humide ; printemps frais</t>
        </is>
      </c>
      <c r="K25" s="110" t="inlineStr">
        <is>
          <t>T° 10–18 °C + rosée nocturne prolongée + excès azote → cuivre, équilibrer fertilisation</t>
        </is>
      </c>
      <c r="L25" s="111" t="inlineStr">
        <is>
          <t>—</t>
        </is>
      </c>
      <c r="M25" s="112" t="inlineStr">
        <is>
          <t>INRAE Ephytia ; ITAB</t>
        </is>
      </c>
    </row>
    <row r="26" ht="75" customHeight="1" s="38">
      <c r="A26" s="105" t="inlineStr">
        <is>
          <t>Rouille fève / pois</t>
        </is>
      </c>
      <c r="B26" s="106" t="inlineStr">
        <is>
          <t>Uromyces fabae / U. pisi</t>
        </is>
      </c>
      <c r="C26" s="107" t="inlineStr">
        <is>
          <t>Fève, Pois, Pois mangetout, Pois chiche</t>
        </is>
      </c>
      <c r="D26" s="108" t="n">
        <v>8</v>
      </c>
      <c r="E26" s="108" t="inlineStr">
        <is>
          <t>17–22</t>
        </is>
      </c>
      <c r="F26" s="108" t="n">
        <v>27</v>
      </c>
      <c r="G26" s="109" t="inlineStr">
        <is>
          <t>&gt; 95 % avec rosée</t>
        </is>
      </c>
      <c r="H26" s="109" t="inlineStr">
        <is>
          <t>OUI – rosée plusieurs heures</t>
        </is>
      </c>
      <c r="I26" s="66" t="inlineStr">
        <is>
          <t>7 à 12 jours</t>
        </is>
      </c>
      <c r="J26" s="66" t="inlineStr">
        <is>
          <t>Printemps tardif (mai-juin pour fève)</t>
        </is>
      </c>
      <c r="K26" s="110" t="inlineStr">
        <is>
          <t>T° 17–22 °C + rosée prolongée + fève en fleurs → variétés tolérantes, cuivre, étêter fèves</t>
        </is>
      </c>
      <c r="L26" s="111" t="inlineStr">
        <is>
          <t>—</t>
        </is>
      </c>
      <c r="M26" s="112" t="inlineStr">
        <is>
          <t>INRAE Ephytia ; ITAB</t>
        </is>
      </c>
    </row>
    <row r="27" ht="75" customHeight="1" s="38">
      <c r="A27" s="105" t="inlineStr">
        <is>
          <t>Rouille haricot</t>
        </is>
      </c>
      <c r="B27" s="106" t="inlineStr">
        <is>
          <t>Uromyces appendiculatus</t>
        </is>
      </c>
      <c r="C27" s="107" t="inlineStr">
        <is>
          <t>Haricot nain, Haricot à rame</t>
        </is>
      </c>
      <c r="D27" s="108" t="n">
        <v>12</v>
      </c>
      <c r="E27" s="108" t="inlineStr">
        <is>
          <t>21–25</t>
        </is>
      </c>
      <c r="F27" s="108" t="n">
        <v>30</v>
      </c>
      <c r="G27" s="109" t="inlineStr">
        <is>
          <t>&gt; 95 % pendant &gt; 10h</t>
        </is>
      </c>
      <c r="H27" s="109" t="inlineStr">
        <is>
          <t>OUI – rosée ou pluie</t>
        </is>
      </c>
      <c r="I27" s="66" t="inlineStr">
        <is>
          <t>10 à 14 jours</t>
        </is>
      </c>
      <c r="J27" s="66" t="inlineStr">
        <is>
          <t>Été humide (juillet–août)</t>
        </is>
      </c>
      <c r="K27" s="110" t="inlineStr">
        <is>
          <t>T° 21–25 °C + rosée nocturne &gt; 10h → variétés résistantes, cuivre</t>
        </is>
      </c>
      <c r="L27" s="111" t="inlineStr">
        <is>
          <t>—</t>
        </is>
      </c>
      <c r="M27" s="112" t="inlineStr">
        <is>
          <t>INRAE Ephytia</t>
        </is>
      </c>
    </row>
    <row r="28" ht="75" customHeight="1" s="38">
      <c r="A28" s="105" t="inlineStr">
        <is>
          <t>Cladosporiose tomate</t>
        </is>
      </c>
      <c r="B28" s="106" t="inlineStr">
        <is>
          <t>Passalora fulva (ex Cladosporium fulvum)</t>
        </is>
      </c>
      <c r="C28" s="107" t="inlineStr">
        <is>
          <t>Tomate (sous abri principalement)</t>
        </is>
      </c>
      <c r="D28" s="108" t="n">
        <v>10</v>
      </c>
      <c r="E28" s="108" t="inlineStr">
        <is>
          <t>22–24</t>
        </is>
      </c>
      <c r="F28" s="108" t="n">
        <v>32</v>
      </c>
      <c r="G28" s="109" t="inlineStr">
        <is>
          <t>&gt; 85 % pendant &gt; 12h</t>
        </is>
      </c>
      <c r="H28" s="109" t="inlineStr">
        <is>
          <t>NON requise (mais favorise)</t>
        </is>
      </c>
      <c r="I28" s="66" t="inlineStr">
        <is>
          <t>10 à 12 jours</t>
        </is>
      </c>
      <c r="J28" s="66" t="inlineStr">
        <is>
          <t>Printemps à été sous abri mal aéré</t>
        </is>
      </c>
      <c r="K28" s="110" t="inlineStr">
        <is>
          <t>T° 22–24 °C + HR &gt; 85 % &gt; 12h sous abri → AÉRATION impérative, variétés résistantes (gènes Cf)</t>
        </is>
      </c>
      <c r="L28" s="111" t="inlineStr">
        <is>
          <t>—</t>
        </is>
      </c>
      <c r="M28" s="112" t="inlineStr">
        <is>
          <t>INRAE Ephytia ; MAB16 2024</t>
        </is>
      </c>
    </row>
    <row r="29" ht="75" customHeight="1" s="38">
      <c r="A29" s="105" t="inlineStr">
        <is>
          <t>Cladosporiose concombre</t>
        </is>
      </c>
      <c r="B29" s="106" t="inlineStr">
        <is>
          <t>Cladosporium cucumerinum</t>
        </is>
      </c>
      <c r="C29" s="107" t="inlineStr">
        <is>
          <t>Concombre (sous abri)</t>
        </is>
      </c>
      <c r="D29" s="108" t="n">
        <v>10</v>
      </c>
      <c r="E29" s="108" t="inlineStr">
        <is>
          <t>17–20</t>
        </is>
      </c>
      <c r="F29" s="108" t="n">
        <v>28</v>
      </c>
      <c r="G29" s="109" t="inlineStr">
        <is>
          <t>&gt; 85 % prolongée</t>
        </is>
      </c>
      <c r="H29" s="109" t="inlineStr">
        <is>
          <t>OUI – feuillage humide favorable</t>
        </is>
      </c>
      <c r="I29" s="66" t="inlineStr">
        <is>
          <t>7 à 14 jours</t>
        </is>
      </c>
      <c r="J29" s="66" t="inlineStr">
        <is>
          <t>Printemps frais humide sous abri</t>
        </is>
      </c>
      <c r="K29" s="110" t="inlineStr">
        <is>
          <t>T° 17–20 °C + HR &gt; 85 % + nuits fraîches sous abri → AÉRATION + chauffage si possible</t>
        </is>
      </c>
      <c r="L29" s="111" t="inlineStr">
        <is>
          <t>—</t>
        </is>
      </c>
      <c r="M29" s="112" t="inlineStr">
        <is>
          <t>INRAE Ephytia</t>
        </is>
      </c>
    </row>
    <row r="30" ht="28" customHeight="1" s="38">
      <c r="A30" s="114" t="inlineStr">
        <is>
          <t>── Vague 3 — Maladies racinaires, vasculaires, bactérioses et virus</t>
        </is>
      </c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</row>
    <row r="31" ht="75" customHeight="1" s="38">
      <c r="A31" s="105" t="inlineStr">
        <is>
          <t>Verticilliose</t>
        </is>
      </c>
      <c r="B31" s="106" t="inlineStr">
        <is>
          <t>Verticillium dahliae / V. albo-atrum</t>
        </is>
      </c>
      <c r="C31" s="107" t="inlineStr">
        <is>
          <t>Tomate, Aubergine, Poivron, Piment, Pomme de terre, Fraisier, Olivier</t>
        </is>
      </c>
      <c r="D31" s="108" t="n">
        <v>12</v>
      </c>
      <c r="E31" s="108" t="inlineStr">
        <is>
          <t>21–25</t>
        </is>
      </c>
      <c r="F31" s="108" t="n">
        <v>30</v>
      </c>
      <c r="G31" s="109" t="inlineStr">
        <is>
          <t>Sol frais et humide</t>
        </is>
      </c>
      <c r="H31" s="109" t="inlineStr">
        <is>
          <t>NON aérienne ; sol bien drainé indispensable</t>
        </is>
      </c>
      <c r="I31" s="66" t="inlineStr">
        <is>
          <t>3 à 8 semaines (longue infection latente)</t>
        </is>
      </c>
      <c r="J31" s="66" t="inlineStr">
        <is>
          <t>Printemps doux + sol frais (mai–juin) ; expression été</t>
        </is>
      </c>
      <c r="K31" s="110" t="inlineStr">
        <is>
          <t>T° sol 21–25 °C + sol frais + plantes hôtes (morelle noire, amarante) → variétés résistantes, greffe sur porte-greffe ; biner/butter pour racines secondaires</t>
        </is>
      </c>
      <c r="L31" s="111" t="inlineStr">
        <is>
          <t>—</t>
        </is>
      </c>
      <c r="M31" s="112" t="inlineStr">
        <is>
          <t>INRAE Ephytia ; ITAB ; MAB16 2024</t>
        </is>
      </c>
    </row>
    <row r="32" ht="75" customHeight="1" s="38">
      <c r="A32" s="105" t="inlineStr">
        <is>
          <t>Fusariose vasculaire tomate</t>
        </is>
      </c>
      <c r="B32" s="106" t="inlineStr">
        <is>
          <t>Fusarium oxysporum f. sp. lycopersici</t>
        </is>
      </c>
      <c r="C32" s="107" t="inlineStr">
        <is>
          <t>Tomate (très spécifique : f.sp. lycopersici)</t>
        </is>
      </c>
      <c r="D32" s="108" t="n">
        <v>18</v>
      </c>
      <c r="E32" s="108" t="inlineStr">
        <is>
          <t>27–28</t>
        </is>
      </c>
      <c r="F32" s="108" t="n">
        <v>32</v>
      </c>
      <c r="G32" s="109" t="inlineStr">
        <is>
          <t>Sol acide (pH 5-5,6) + humide</t>
        </is>
      </c>
      <c r="H32" s="109" t="inlineStr">
        <is>
          <t>NON aérienne</t>
        </is>
      </c>
      <c r="I32" s="66" t="inlineStr">
        <is>
          <t>2 à 4 semaines</t>
        </is>
      </c>
      <c r="J32" s="66" t="inlineStr">
        <is>
          <t>Été chaud ; sous abri T° élevées prolongées</t>
        </is>
      </c>
      <c r="K32" s="110" t="inlineStr">
        <is>
          <t>T° sol &gt; 25 °C + sol acide → greffe sur porte-greffe résistant (KNVF), rotation, chaulage si pH bas</t>
        </is>
      </c>
      <c r="L32" s="111" t="inlineStr">
        <is>
          <t>—</t>
        </is>
      </c>
      <c r="M32" s="112" t="inlineStr">
        <is>
          <t>INRAE Ephytia ; ITAB ; MAB16</t>
        </is>
      </c>
    </row>
    <row r="33" ht="75" customHeight="1" s="38">
      <c r="A33" s="105" t="inlineStr">
        <is>
          <t>Fusariose melon / concombre</t>
        </is>
      </c>
      <c r="B33" s="106" t="inlineStr">
        <is>
          <t>Fusarium oxysporum f. sp. melonis / cucumerinum</t>
        </is>
      </c>
      <c r="C33" s="107" t="inlineStr">
        <is>
          <t>Melon, Concombre, Pastèque (souches spécifiques)</t>
        </is>
      </c>
      <c r="D33" s="108" t="n">
        <v>18</v>
      </c>
      <c r="E33" s="108" t="inlineStr">
        <is>
          <t>24–28</t>
        </is>
      </c>
      <c r="F33" s="108" t="n">
        <v>32</v>
      </c>
      <c r="G33" s="109" t="inlineStr">
        <is>
          <t>Sol humide chaud</t>
        </is>
      </c>
      <c r="H33" s="109" t="inlineStr">
        <is>
          <t>NON aérienne</t>
        </is>
      </c>
      <c r="I33" s="66" t="inlineStr">
        <is>
          <t>2 à 4 semaines</t>
        </is>
      </c>
      <c r="J33" s="66" t="inlineStr">
        <is>
          <t>Été (sous abri toute l'année si T° élevée)</t>
        </is>
      </c>
      <c r="K33" s="110" t="inlineStr">
        <is>
          <t>T° sol 24–28 °C + cultures répétées → greffe sur Cucurbita ('Shintosa'), rotation 5+ ans, désinfection à la vapeur</t>
        </is>
      </c>
      <c r="L33" s="111" t="inlineStr">
        <is>
          <t>—</t>
        </is>
      </c>
      <c r="M33" s="112" t="inlineStr">
        <is>
          <t>INRAE Ephytia ; ITAB</t>
        </is>
      </c>
    </row>
    <row r="34" ht="75" customHeight="1" s="38">
      <c r="A34" s="105" t="inlineStr">
        <is>
          <t>Fusariose oignon / poireau</t>
        </is>
      </c>
      <c r="B34" s="106" t="inlineStr">
        <is>
          <t>Fusarium oxysporum f. sp. cepae / proliferatum</t>
        </is>
      </c>
      <c r="C34" s="107" t="inlineStr">
        <is>
          <t>Oignon, Échalote, Ail, Poireau</t>
        </is>
      </c>
      <c r="D34" s="108" t="n">
        <v>15</v>
      </c>
      <c r="E34" s="108" t="inlineStr">
        <is>
          <t>25–28</t>
        </is>
      </c>
      <c r="F34" s="108" t="n">
        <v>32</v>
      </c>
      <c r="G34" s="109" t="inlineStr">
        <is>
          <t>Sol humide chaud</t>
        </is>
      </c>
      <c r="H34" s="109" t="inlineStr">
        <is>
          <t>NON aérienne</t>
        </is>
      </c>
      <c r="I34" s="66" t="inlineStr">
        <is>
          <t>3 à 6 semaines</t>
        </is>
      </c>
      <c r="J34" s="66" t="inlineStr">
        <is>
          <t>Fin d'été ; conservation</t>
        </is>
      </c>
      <c r="K34" s="110" t="inlineStr">
        <is>
          <t>T° sol &gt; 25 °C + irrigation excessive → bulbilles saines, rotation longue, séchage soigné</t>
        </is>
      </c>
      <c r="L34" s="111" t="inlineStr">
        <is>
          <t>—</t>
        </is>
      </c>
      <c r="M34" s="112" t="inlineStr">
        <is>
          <t>INRAE Ephytia ; ITAB</t>
        </is>
      </c>
    </row>
    <row r="35" ht="75" customHeight="1" s="38">
      <c r="A35" s="105" t="inlineStr">
        <is>
          <t>Fusariose pois / fève</t>
        </is>
      </c>
      <c r="B35" s="106" t="inlineStr">
        <is>
          <t>Fusarium solani / F. oxysporum f. sp. pisi</t>
        </is>
      </c>
      <c r="C35" s="107" t="inlineStr">
        <is>
          <t>Pois, Pois mangetout, Fève, Pois chiche</t>
        </is>
      </c>
      <c r="D35" s="108" t="n">
        <v>15</v>
      </c>
      <c r="E35" s="108" t="inlineStr">
        <is>
          <t>22–28</t>
        </is>
      </c>
      <c r="F35" s="108" t="n">
        <v>32</v>
      </c>
      <c r="G35" s="109" t="inlineStr">
        <is>
          <t>Sol humide compacté</t>
        </is>
      </c>
      <c r="H35" s="109" t="inlineStr">
        <is>
          <t>NON aérienne</t>
        </is>
      </c>
      <c r="I35" s="66" t="inlineStr">
        <is>
          <t>2 à 4 semaines</t>
        </is>
      </c>
      <c r="J35" s="66" t="inlineStr">
        <is>
          <t>Été ; cultures répétées</t>
        </is>
      </c>
      <c r="K35" s="110" t="inlineStr">
        <is>
          <t>T° sol &gt; 22 °C + sol compact + rotation courte → rotation 5+ ans, drainage, semences certifiées</t>
        </is>
      </c>
      <c r="L35" s="111" t="inlineStr">
        <is>
          <t>—</t>
        </is>
      </c>
      <c r="M35" s="112" t="inlineStr">
        <is>
          <t>INRAE Ephytia ; ITAB Grandes cultures</t>
        </is>
      </c>
    </row>
    <row r="36" ht="75" customHeight="1" s="38">
      <c r="A36" s="105" t="inlineStr">
        <is>
          <t>Pythium (fonte des semis)</t>
        </is>
      </c>
      <c r="B36" s="106" t="inlineStr">
        <is>
          <t>Pythium ultimum / P. aphanidermatum</t>
        </is>
      </c>
      <c r="C36" s="107" t="inlineStr">
        <is>
          <t>Tous semis : tomate, concombre, salades, choux, fèves...</t>
        </is>
      </c>
      <c r="D36" s="108" t="n">
        <v>8</v>
      </c>
      <c r="E36" s="108" t="inlineStr">
        <is>
          <t>15–25</t>
        </is>
      </c>
      <c r="F36" s="108" t="n">
        <v>30</v>
      </c>
      <c r="G36" s="109" t="inlineStr">
        <is>
          <t>Substrat ou sol saturé en eau</t>
        </is>
      </c>
      <c r="H36" s="109" t="inlineStr">
        <is>
          <t>OUI – sol détrempé indispensable</t>
        </is>
      </c>
      <c r="I36" s="66" t="inlineStr">
        <is>
          <t>3 à 10 jours</t>
        </is>
      </c>
      <c r="J36" s="66" t="inlineStr">
        <is>
          <t>Toute année (semis sous abri, terreau saturé)</t>
        </is>
      </c>
      <c r="K36" s="110" t="inlineStr">
        <is>
          <t>Substrat saturé d'eau + T° 15–25 °C + semis denses → substrat sain, semis aérés, arrosage modéré, surveiller fonte</t>
        </is>
      </c>
      <c r="L36" s="111" t="inlineStr">
        <is>
          <t>—</t>
        </is>
      </c>
      <c r="M36" s="112" t="inlineStr">
        <is>
          <t>INRAE Ephytia ; ITAB ; MAB16</t>
        </is>
      </c>
    </row>
    <row r="37" ht="75" customHeight="1" s="38">
      <c r="A37" s="105" t="inlineStr">
        <is>
          <t>Rhizoctone brun</t>
        </is>
      </c>
      <c r="B37" s="106" t="inlineStr">
        <is>
          <t>Rhizoctonia solani</t>
        </is>
      </c>
      <c r="C37" s="107" t="inlineStr">
        <is>
          <t>Carotte, Pomme de terre, Haricot, Laitue, Brassicacées</t>
        </is>
      </c>
      <c r="D37" s="108" t="n">
        <v>8</v>
      </c>
      <c r="E37" s="108" t="inlineStr">
        <is>
          <t>15–25</t>
        </is>
      </c>
      <c r="F37" s="108" t="n">
        <v>30</v>
      </c>
      <c r="G37" s="109" t="inlineStr">
        <is>
          <t>Sol humide en surface + chaleur</t>
        </is>
      </c>
      <c r="H37" s="109" t="inlineStr">
        <is>
          <t>OUI à la surface du sol</t>
        </is>
      </c>
      <c r="I37" s="66" t="inlineStr">
        <is>
          <t>5 à 14 jours</t>
        </is>
      </c>
      <c r="J37" s="66" t="inlineStr">
        <is>
          <t>Printemps frais ; été chaud humide</t>
        </is>
      </c>
      <c r="K37" s="110" t="inlineStr">
        <is>
          <t>Humidité de surface persistante + adventices hôtes (amarante, rumex, pissenlit) → semences/plants sains, paillage, désherbage strict</t>
        </is>
      </c>
      <c r="L37" s="111" t="inlineStr">
        <is>
          <t>—</t>
        </is>
      </c>
      <c r="M37" s="112" t="inlineStr">
        <is>
          <t>INRAE Ephytia ; ITAB ; MAB16</t>
        </is>
      </c>
    </row>
    <row r="38" ht="75" customHeight="1" s="38">
      <c r="A38" s="105" t="inlineStr">
        <is>
          <t>Rhizoctone violet</t>
        </is>
      </c>
      <c r="B38" s="106" t="inlineStr">
        <is>
          <t>Helicobasidium purpureum / Rhizoctonia crocorum</t>
        </is>
      </c>
      <c r="C38" s="107" t="inlineStr">
        <is>
          <t>Carotte, Asperge, Betterave, Pomme de terre, Luzerne</t>
        </is>
      </c>
      <c r="D38" s="108" t="n">
        <v>12</v>
      </c>
      <c r="E38" s="108" t="inlineStr">
        <is>
          <t>20–25</t>
        </is>
      </c>
      <c r="F38" s="108" t="n">
        <v>30</v>
      </c>
      <c r="G38" s="109" t="inlineStr">
        <is>
          <t>Sol humide</t>
        </is>
      </c>
      <c r="H38" s="109" t="inlineStr">
        <is>
          <t>OUI au sol</t>
        </is>
      </c>
      <c r="I38" s="66" t="inlineStr">
        <is>
          <t>Long (&gt; 1 mois pour symptômes)</t>
        </is>
      </c>
      <c r="J38" s="66" t="inlineStr">
        <is>
          <t>Été (juillet–septembre)</t>
        </is>
      </c>
      <c r="K38" s="110" t="inlineStr">
        <is>
          <t>Parcelles humides + précédents Apiacées/Asparagacées → rotation 6+ ans, drainage</t>
        </is>
      </c>
      <c r="L38" s="111" t="inlineStr">
        <is>
          <t>—</t>
        </is>
      </c>
      <c r="M38" s="112" t="inlineStr">
        <is>
          <t>INRAE Ephytia ; FREDON</t>
        </is>
      </c>
    </row>
    <row r="39" ht="75" customHeight="1" s="38">
      <c r="A39" s="105" t="inlineStr">
        <is>
          <t>Hernie du chou</t>
        </is>
      </c>
      <c r="B39" s="106" t="inlineStr">
        <is>
          <t>Plasmodiophora brassicae</t>
        </is>
      </c>
      <c r="C39" s="107" t="inlineStr">
        <is>
          <t>Tous choux, Navet, Radis, Roquette, Pak choï, Bok choï</t>
        </is>
      </c>
      <c r="D39" s="108" t="n">
        <v>12</v>
      </c>
      <c r="E39" s="108" t="inlineStr">
        <is>
          <t>20–25</t>
        </is>
      </c>
      <c r="F39" s="108" t="n">
        <v>30</v>
      </c>
      <c r="G39" s="109" t="inlineStr">
        <is>
          <t>Sol humide acide (pH &lt; 7)</t>
        </is>
      </c>
      <c r="H39" s="109" t="inlineStr">
        <is>
          <t>OUI au sol – spores nagent dans l'eau</t>
        </is>
      </c>
      <c r="I39" s="66" t="inlineStr">
        <is>
          <t>3 à 6 semaines</t>
        </is>
      </c>
      <c r="J39" s="66" t="inlineStr">
        <is>
          <t>Toute saison si sol contaminé (persiste 7–10 ans!)</t>
        </is>
      </c>
      <c r="K39" s="110" t="inlineStr">
        <is>
          <t>pH sol &lt; 7 + sol humide + précédent brassicacée → chaulage (pH &gt; 7), rotation 7+ ans, drainage, semis tardifs</t>
        </is>
      </c>
      <c r="L39" s="111" t="inlineStr">
        <is>
          <t>—</t>
        </is>
      </c>
      <c r="M39" s="112" t="inlineStr">
        <is>
          <t>INRAE Ephytia ; ITAB ; MAB16</t>
        </is>
      </c>
    </row>
    <row r="40" ht="75" customHeight="1" s="38">
      <c r="A40" s="105" t="inlineStr">
        <is>
          <t>Pourriture blanche alliacées</t>
        </is>
      </c>
      <c r="B40" s="106" t="inlineStr">
        <is>
          <t>Sclerotium cepivorum / Stromatinia cepivora</t>
        </is>
      </c>
      <c r="C40" s="107" t="inlineStr">
        <is>
          <t>Oignon, Échalote, Ail, Poireau</t>
        </is>
      </c>
      <c r="D40" s="108" t="n">
        <v>9</v>
      </c>
      <c r="E40" s="108" t="inlineStr">
        <is>
          <t>15–20</t>
        </is>
      </c>
      <c r="F40" s="108" t="n">
        <v>24</v>
      </c>
      <c r="G40" s="109" t="inlineStr">
        <is>
          <t>Sol frais et humide</t>
        </is>
      </c>
      <c r="H40" s="109" t="inlineStr">
        <is>
          <t>Préférée au sol</t>
        </is>
      </c>
      <c r="I40" s="66" t="inlineStr">
        <is>
          <t>4 à 8 semaines</t>
        </is>
      </c>
      <c r="J40" s="66" t="inlineStr">
        <is>
          <t>Printemps frais ; T° fraîches favorisent</t>
        </is>
      </c>
      <c r="K40" s="110" t="inlineStr">
        <is>
          <t>T° sol 15–20 °C + sol humide + sclérotes présents (persistent 5+ ans) → rotation 7+ ans, éviter parcelles à antécédents</t>
        </is>
      </c>
      <c r="L40" s="111" t="inlineStr">
        <is>
          <t>—</t>
        </is>
      </c>
      <c r="M40" s="112" t="inlineStr">
        <is>
          <t>INRAE Ephytia ; ITAB</t>
        </is>
      </c>
    </row>
    <row r="41" ht="75" customHeight="1" s="38">
      <c r="A41" s="105" t="inlineStr">
        <is>
          <t>Bactériose graisse (Pseudomonas)</t>
        </is>
      </c>
      <c r="B41" s="106" t="inlineStr">
        <is>
          <t>Pseudomonas syringae (diverses pv.)</t>
        </is>
      </c>
      <c r="C41" s="107" t="inlineStr">
        <is>
          <t>Haricot, Pois, Tomate, Concombre, Chou (Pseudomonas)</t>
        </is>
      </c>
      <c r="D41" s="108" t="n">
        <v>4</v>
      </c>
      <c r="E41" s="108" t="inlineStr">
        <is>
          <t>20–25</t>
        </is>
      </c>
      <c r="F41" s="108" t="n">
        <v>30</v>
      </c>
      <c r="G41" s="109" t="inlineStr">
        <is>
          <t>&gt; 90 % avec pluie/aspersion</t>
        </is>
      </c>
      <c r="H41" s="109" t="inlineStr">
        <is>
          <t>OUI – essentielle (ruissellement, éclaboussures)</t>
        </is>
      </c>
      <c r="I41" s="66" t="inlineStr">
        <is>
          <t>5 à 10 jours</t>
        </is>
      </c>
      <c r="J41" s="66" t="inlineStr">
        <is>
          <t>Printemps doux humide ; été pluvieux</t>
        </is>
      </c>
      <c r="K41" s="110" t="inlineStr">
        <is>
          <t>T° 20–25 °C + pluies orageuses + aspersion → INTERDIRE aspersion, semences certifiées, cuivre préventif après grêle</t>
        </is>
      </c>
      <c r="L41" s="111" t="inlineStr">
        <is>
          <t>—</t>
        </is>
      </c>
      <c r="M41" s="112" t="inlineStr">
        <is>
          <t>INRAE Ephytia ; ITAB ; MAB16 2024</t>
        </is>
      </c>
    </row>
    <row r="42" ht="75" customHeight="1" s="38">
      <c r="A42" s="105" t="inlineStr">
        <is>
          <t>Nervation noire / pourriture noire chou</t>
        </is>
      </c>
      <c r="B42" s="106" t="inlineStr">
        <is>
          <t>Xanthomonas campestris pv. campestris</t>
        </is>
      </c>
      <c r="C42" s="107" t="inlineStr">
        <is>
          <t>Tous choux, Navet, Radis, Roquette</t>
        </is>
      </c>
      <c r="D42" s="108" t="n">
        <v>5</v>
      </c>
      <c r="E42" s="108" t="inlineStr">
        <is>
          <t>25–30</t>
        </is>
      </c>
      <c r="F42" s="108" t="n">
        <v>35</v>
      </c>
      <c r="G42" s="109" t="inlineStr">
        <is>
          <t>&gt; 90 % avec pluie/aspersion</t>
        </is>
      </c>
      <c r="H42" s="109" t="inlineStr">
        <is>
          <t>OUI – essentielle (pénétration par stomates et hydathodes)</t>
        </is>
      </c>
      <c r="I42" s="66" t="inlineStr">
        <is>
          <t>10 à 14 jours</t>
        </is>
      </c>
      <c r="J42" s="66" t="inlineStr">
        <is>
          <t>Été chaud humide (juillet–août)</t>
        </is>
      </c>
      <c r="K42" s="110" t="inlineStr">
        <is>
          <t>T° 25–30 °C + pluies orageuses + plants stressés → semences certifiées (traitement thermique 50°C/30min), rotation, cuivre préventif</t>
        </is>
      </c>
      <c r="L42" s="111" t="inlineStr">
        <is>
          <t>—</t>
        </is>
      </c>
      <c r="M42" s="112" t="inlineStr">
        <is>
          <t>INRAE Ephytia ; ITAB ; MAB16 2024</t>
        </is>
      </c>
    </row>
    <row r="43" ht="75" customHeight="1" s="38">
      <c r="A43" s="105" t="inlineStr">
        <is>
          <t>Bactériose tomate (chancre, gale)</t>
        </is>
      </c>
      <c r="B43" s="106" t="inlineStr">
        <is>
          <t>Clavibacter michiganensis ; Xanthomonas vesicatoria</t>
        </is>
      </c>
      <c r="C43" s="107" t="inlineStr">
        <is>
          <t>Tomate, Poivron, Piment</t>
        </is>
      </c>
      <c r="D43" s="108" t="n">
        <v>15</v>
      </c>
      <c r="E43" s="108" t="inlineStr">
        <is>
          <t>24–28</t>
        </is>
      </c>
      <c r="F43" s="108" t="n">
        <v>32</v>
      </c>
      <c r="G43" s="109" t="inlineStr">
        <is>
          <t>&gt; 85 % avec aspersion</t>
        </is>
      </c>
      <c r="H43" s="109" t="inlineStr">
        <is>
          <t>OUI – pénétration par blessures et stomates</t>
        </is>
      </c>
      <c r="I43" s="66" t="inlineStr">
        <is>
          <t>7 à 14 jours</t>
        </is>
      </c>
      <c r="J43" s="66" t="inlineStr">
        <is>
          <t>Été ; sous abri si aspersion</t>
        </is>
      </c>
      <c r="K43" s="110" t="inlineStr">
        <is>
          <t>T° 24–28 °C + aspersion + blessures de taille → semences certifiées, désinfection outils, cuivre préventif</t>
        </is>
      </c>
      <c r="L43" s="111" t="inlineStr">
        <is>
          <t>—</t>
        </is>
      </c>
      <c r="M43" s="112" t="inlineStr">
        <is>
          <t>INRAE Ephytia ; ITAB</t>
        </is>
      </c>
    </row>
    <row r="44" ht="75" customHeight="1" s="38">
      <c r="A44" s="105" t="inlineStr">
        <is>
          <t>Pourriture molle bactérienne</t>
        </is>
      </c>
      <c r="B44" s="106" t="inlineStr">
        <is>
          <t>Pectobacterium carotovorum / Dickeya spp.</t>
        </is>
      </c>
      <c r="C44" s="107" t="inlineStr">
        <is>
          <t>Carotte, Pomme de terre, Salades, Choux, Céleri (conservation)</t>
        </is>
      </c>
      <c r="D44" s="108" t="n">
        <v>5</v>
      </c>
      <c r="E44" s="108" t="inlineStr">
        <is>
          <t>20–28</t>
        </is>
      </c>
      <c r="F44" s="108" t="n">
        <v>35</v>
      </c>
      <c r="G44" s="109" t="inlineStr">
        <is>
          <t>&gt; 95 % + eau libre</t>
        </is>
      </c>
      <c r="H44" s="109" t="inlineStr">
        <is>
          <t>OUI – essentielle pour pénétration</t>
        </is>
      </c>
      <c r="I44" s="66" t="inlineStr">
        <is>
          <t>2 à 5 jours (rapide)</t>
        </is>
      </c>
      <c r="J44" s="66" t="inlineStr">
        <is>
          <t>Été chaud humide ; conservation chaude</t>
        </is>
      </c>
      <c r="K44" s="110" t="inlineStr">
        <is>
          <t>T° 20–28 °C + eau stagnante + blessures à la récolte → récolte sol ressuyé, séchage, stockage 0–4°C ventilé</t>
        </is>
      </c>
      <c r="L44" s="111" t="inlineStr">
        <is>
          <t>—</t>
        </is>
      </c>
      <c r="M44" s="112" t="inlineStr">
        <is>
          <t>INRAE Ephytia ; ITAB</t>
        </is>
      </c>
    </row>
    <row r="45" ht="75" customHeight="1" s="38">
      <c r="A45" s="105" t="inlineStr">
        <is>
          <t>Virus de la mosaïque (CMV, ZYMV, WMV)</t>
        </is>
      </c>
      <c r="B45" s="106" t="inlineStr">
        <is>
          <t>Cucumber Mosaic Virus / Zucchini Yellow / Watermelon Mosaic</t>
        </is>
      </c>
      <c r="C45" s="107" t="inlineStr">
        <is>
          <t>Cucurbitacées (toutes), Tomate, Poivron, Épinard, Salade</t>
        </is>
      </c>
      <c r="D45" s="108" t="inlineStr">
        <is>
          <t>—</t>
        </is>
      </c>
      <c r="E45" s="108" t="inlineStr">
        <is>
          <t>—</t>
        </is>
      </c>
      <c r="F45" s="108" t="inlineStr">
        <is>
          <t>—</t>
        </is>
      </c>
      <c r="G45" s="109" t="inlineStr">
        <is>
          <t>Non directe (via vecteurs)</t>
        </is>
      </c>
      <c r="H45" s="109" t="inlineStr">
        <is>
          <t>NON requise</t>
        </is>
      </c>
      <c r="I45" s="66" t="inlineStr">
        <is>
          <t>7 à 21 jours après inoculation</t>
        </is>
      </c>
      <c r="J45" s="66" t="inlineStr">
        <is>
          <t>Vols de pucerons : printemps + été (T° &gt; 15 °C)</t>
        </is>
      </c>
      <c r="K45" s="110" t="inlineStr">
        <is>
          <t>Vols pucerons (T° &gt; 15 °C + jour ensoleillé) → panneaux jaunes, savon noir, filet insect-proof, éliminer adventices hôtes</t>
        </is>
      </c>
      <c r="L45" s="111" t="inlineStr">
        <is>
          <t>—</t>
        </is>
      </c>
      <c r="M45" s="112" t="inlineStr">
        <is>
          <t>INRAE Ephytia ; ITAB ; MAB16</t>
        </is>
      </c>
    </row>
    <row r="46" ht="75" customHeight="1" s="38">
      <c r="A46" s="105" t="inlineStr">
        <is>
          <t>Virus du bronzé tomate (TSWV) / TYLCV</t>
        </is>
      </c>
      <c r="B46" s="106" t="inlineStr">
        <is>
          <t>Tomato Spotted Wilt Virus / Tomato Yellow Leaf Curl Virus</t>
        </is>
      </c>
      <c r="C46" s="107" t="inlineStr">
        <is>
          <t>Tomate, Poivron, Piment, Aubergine, Salade (TSWV)</t>
        </is>
      </c>
      <c r="D46" s="108" t="inlineStr">
        <is>
          <t>—</t>
        </is>
      </c>
      <c r="E46" s="108" t="inlineStr">
        <is>
          <t>—</t>
        </is>
      </c>
      <c r="F46" s="108" t="inlineStr">
        <is>
          <t>—</t>
        </is>
      </c>
      <c r="G46" s="109" t="inlineStr">
        <is>
          <t>Non directe (via vecteurs)</t>
        </is>
      </c>
      <c r="H46" s="109" t="inlineStr">
        <is>
          <t>NON requise</t>
        </is>
      </c>
      <c r="I46" s="66" t="inlineStr">
        <is>
          <t>10 à 20 jours après inoculation</t>
        </is>
      </c>
      <c r="J46" s="66" t="inlineStr">
        <is>
          <t>Thrips actifs (T° 23–30°C) pour TSWV ; aleurodes pour TYLCV</t>
        </is>
      </c>
      <c r="K46" s="110" t="inlineStr">
        <is>
          <t>T° 23–30 °C + activité thrips/aleurodes → PBI Orius, filet insect-proof maille 0,2mm, hygrométrie élevée</t>
        </is>
      </c>
      <c r="L46" s="111" t="inlineStr">
        <is>
          <t>—</t>
        </is>
      </c>
      <c r="M46" s="112" t="inlineStr">
        <is>
          <t>INRAE Ephytia ; ITAB</t>
        </is>
      </c>
    </row>
    <row r="47" ht="75" customHeight="1" s="38">
      <c r="A47" s="105" t="inlineStr">
        <is>
          <t>Virus de la mosaïque du tabac (TMV/ToMV/ToBRFV)</t>
        </is>
      </c>
      <c r="B47" s="106" t="inlineStr">
        <is>
          <t>Tobacco Mosaic Virus / Tomato Brown Rugose Fruit Virus</t>
        </is>
      </c>
      <c r="C47" s="107" t="inlineStr">
        <is>
          <t>Tomate, Poivron, Piment, Aubergine</t>
        </is>
      </c>
      <c r="D47" s="108" t="inlineStr">
        <is>
          <t>—</t>
        </is>
      </c>
      <c r="E47" s="108" t="inlineStr">
        <is>
          <t>—</t>
        </is>
      </c>
      <c r="F47" s="108" t="inlineStr">
        <is>
          <t>—</t>
        </is>
      </c>
      <c r="G47" s="109" t="inlineStr">
        <is>
          <t>Non directe (transmission mécanique)</t>
        </is>
      </c>
      <c r="H47" s="109" t="inlineStr">
        <is>
          <t>NON requise</t>
        </is>
      </c>
      <c r="I47" s="66" t="inlineStr">
        <is>
          <t>5 à 15 jours</t>
        </is>
      </c>
      <c r="J47" s="66" t="inlineStr">
        <is>
          <t>Toute saison (transmis par contact direct, outils, mains)</t>
        </is>
      </c>
      <c r="K47" s="110" t="inlineStr">
        <is>
          <t>Pas de seuil climatique – DÉSINFECTION outils impérative + semences certifiées + retrait plants infectés ; ToBRFV très contagieux (semences, contacts, eau)</t>
        </is>
      </c>
      <c r="L47" s="111" t="inlineStr">
        <is>
          <t>—</t>
        </is>
      </c>
      <c r="M47" s="112" t="inlineStr">
        <is>
          <t>INRAE Ephytia ; ANSES ; MAB16 2024</t>
        </is>
      </c>
    </row>
    <row r="48" ht="40" customHeight="1" s="38">
      <c r="A48" s="103" t="inlineStr">
        <is>
          <t>À VENIR — Vague 4 : Ravageurs sensibles climat (Tuta absoluta, Doryphore, pucerons, mouche carotte, mouche oignon, thrips, aleurodes, acariens, noctuelles)</t>
        </is>
      </c>
    </row>
  </sheetData>
  <mergeCells count="6">
    <mergeCell ref="A1:M1"/>
    <mergeCell ref="A5:M5"/>
    <mergeCell ref="A48:M48"/>
    <mergeCell ref="A30:M30"/>
    <mergeCell ref="A15:M15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Elodie PLASSIN</dc:creator>
  <dcterms:created xmlns:dcterms="http://purl.org/dc/terms/" xmlns:xsi="http://www.w3.org/2001/XMLSchema-instance" xsi:type="dcterms:W3CDTF">2026-04-28T15:09:31Z</dcterms:created>
  <dcterms:modified xmlns:dcterms="http://purl.org/dc/terms/" xmlns:xsi="http://www.w3.org/2001/XMLSchema-instance" xsi:type="dcterms:W3CDTF">2026-05-12T12:11:17Z</dcterms:modified>
  <cp:lastModifiedBy>Elodie PLASSIN</cp:lastModifiedBy>
</cp:coreProperties>
</file>